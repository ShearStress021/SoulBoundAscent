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projects\schoolWork\SoulBoundAscent\Planning\"/>
    </mc:Choice>
  </mc:AlternateContent>
  <xr:revisionPtr revIDLastSave="0" documentId="13_ncr:1_{98F62794-DF79-4DC6-850E-FF3565177834}" xr6:coauthVersionLast="47" xr6:coauthVersionMax="47" xr10:uidLastSave="{00000000-0000-0000-0000-000000000000}"/>
  <bookViews>
    <workbookView xWindow="47895" yWindow="0" windowWidth="19410" windowHeight="16305" xr2:uid="{00000000-000D-0000-FFFF-FFFF00000000}"/>
  </bookViews>
  <sheets>
    <sheet name="Dashboard" sheetId="1" r:id="rId1"/>
    <sheet name="All Tasks" sheetId="2" r:id="rId2"/>
    <sheet name="Build 0 - Setup" sheetId="3" r:id="rId3"/>
    <sheet name="Build 1 - Combat Core" sheetId="4" r:id="rId4"/>
    <sheet name="Build 1.5 - Hardening" sheetId="5" r:id="rId5"/>
    <sheet name="Build 2 - Prep Loop" sheetId="6" r:id="rId6"/>
    <sheet name="Build 3 - Final Demo" sheetId="7" r:id="rId7"/>
    <sheet name="Hard Cut Rules" sheetId="8" r:id="rId8"/>
    <sheet name="Stretch Only" sheetId="9" r:id="rId9"/>
    <sheet name="Test Plan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E14" i="1"/>
  <c r="B14" i="1"/>
  <c r="E13" i="1"/>
  <c r="B13" i="1"/>
  <c r="E12" i="1"/>
  <c r="B12" i="1"/>
  <c r="E11" i="1"/>
  <c r="B11" i="1"/>
</calcChain>
</file>

<file path=xl/sharedStrings.xml><?xml version="1.0" encoding="utf-8"?>
<sst xmlns="http://schemas.openxmlformats.org/spreadsheetml/2006/main" count="980" uniqueCount="251">
  <si>
    <t>Soulbound Ascent - Demo-First Vertical Slice Tracker</t>
  </si>
  <si>
    <t>Build</t>
  </si>
  <si>
    <t>Goal</t>
  </si>
  <si>
    <t>Gate</t>
  </si>
  <si>
    <t>Status</t>
  </si>
  <si>
    <t>Build 0</t>
  </si>
  <si>
    <t>Remove setup risk.</t>
  </si>
  <si>
    <t>Project opens, scene runs, Windows build produced.</t>
  </si>
  <si>
    <t>Not Started</t>
  </si>
  <si>
    <t>Build 1</t>
  </si>
  <si>
    <t>Prove combat core.</t>
  </si>
  <si>
    <t>One floor playable and understandable.</t>
  </si>
  <si>
    <t>Build 1.5</t>
  </si>
  <si>
    <t>Harden combat for reuse.</t>
  </si>
  <si>
    <t>Two data-driven floors and external inputs.</t>
  </si>
  <si>
    <t>Build 2</t>
  </si>
  <si>
    <t>Make preparation matter.</t>
  </si>
  <si>
    <t>Summon/train/deploy/save/load loop works.</t>
  </si>
  <si>
    <t>Build 3</t>
  </si>
  <si>
    <t>Finish consequence demo.</t>
  </si>
  <si>
    <t>New player completes demo without explanation.</t>
  </si>
  <si>
    <t>Task Count</t>
  </si>
  <si>
    <t>Owner</t>
  </si>
  <si>
    <t>Samuel</t>
  </si>
  <si>
    <t>In Progress</t>
  </si>
  <si>
    <t>Steven</t>
  </si>
  <si>
    <t>Blocked</t>
  </si>
  <si>
    <t>Guillermo</t>
  </si>
  <si>
    <t>Done</t>
  </si>
  <si>
    <t>All</t>
  </si>
  <si>
    <t>Cut</t>
  </si>
  <si>
    <t>Final Demo Minimum</t>
  </si>
  <si>
    <t>Priority</t>
  </si>
  <si>
    <t>One town screen.</t>
  </si>
  <si>
    <t>Must</t>
  </si>
  <si>
    <t>Summon/train heroes.</t>
  </si>
  <si>
    <t>Deploy 4 heroes.</t>
  </si>
  <si>
    <t>Clear 3 floors.</t>
  </si>
  <si>
    <t>See at least one hero death/revival moment.</t>
  </si>
  <si>
    <t>Save/load.</t>
  </si>
  <si>
    <t>Final build with clear UI and no softlocks.</t>
  </si>
  <si>
    <t>ID</t>
  </si>
  <si>
    <t>Task</t>
  </si>
  <si>
    <t>Effort</t>
  </si>
  <si>
    <t>Depends On</t>
  </si>
  <si>
    <t>Acceptance Criteria</t>
  </si>
  <si>
    <t>Notes</t>
  </si>
  <si>
    <t>B0-01</t>
  </si>
  <si>
    <t>Create Unity project in the repo.</t>
  </si>
  <si>
    <t>M</t>
  </si>
  <si>
    <t>None</t>
  </si>
  <si>
    <t>Repo contains Assets, Packages, and ProjectSettings.</t>
  </si>
  <si>
    <t>B0-02</t>
  </si>
  <si>
    <t>Confirm .gitignore and Git LFS are working.</t>
  </si>
  <si>
    <t>S</t>
  </si>
  <si>
    <t>Generated Unity folders are ignored and binary asset types are tracked by LFS.</t>
  </si>
  <si>
    <t>B0-03</t>
  </si>
  <si>
    <t>Create base folders, combat scene, placeholder materials, and simple camera.</t>
  </si>
  <si>
    <t>Samuel/Guillermo</t>
  </si>
  <si>
    <t>First scene opens with camera, light, placeholder materials, and clean hierarchy.</t>
  </si>
  <si>
    <t>B0-04</t>
  </si>
  <si>
    <t>Make a test Windows build by the end of setup.</t>
  </si>
  <si>
    <t>A Windows build is produced and launches.</t>
  </si>
  <si>
    <t>B1-01</t>
  </si>
  <si>
    <t>Build 5x6 grid.</t>
  </si>
  <si>
    <t>B0 Gate</t>
  </si>
  <si>
    <t>Grid renders and stores coordinates/occupancy.</t>
  </si>
  <si>
    <t>B1-02</t>
  </si>
  <si>
    <t>Add placeholder heroes and enemies.</t>
  </si>
  <si>
    <t>Hero and enemy placeholders are visually distinct.</t>
  </si>
  <si>
    <t>B1-03</t>
  </si>
  <si>
    <t>Add 4-hero deployment.</t>
  </si>
  <si>
    <t>B1-01, B1-02</t>
  </si>
  <si>
    <t>Player can deploy four heroes before battle.</t>
  </si>
  <si>
    <t>B1-04</t>
  </si>
  <si>
    <t>Add one Floor 1 enemy config.</t>
  </si>
  <si>
    <t>Floor 1 enemies spawn from config.</t>
  </si>
  <si>
    <t>B1-05</t>
  </si>
  <si>
    <t>Add battle phases.</t>
  </si>
  <si>
    <t>B1-03, B1-04</t>
  </si>
  <si>
    <t>Preparation, battle, victory, and defeat phases work.</t>
  </si>
  <si>
    <t>B1-06</t>
  </si>
  <si>
    <t>Add grid movement.</t>
  </si>
  <si>
    <t>Units move cell-by-cell using grid coordinates.</t>
  </si>
  <si>
    <t>B1-07</t>
  </si>
  <si>
    <t>Add targeting.</t>
  </si>
  <si>
    <t>Units select nearest valid target and retarget after death.</t>
  </si>
  <si>
    <t>B1-08</t>
  </si>
  <si>
    <t>Add damage, death, HP bars, and win/loss.</t>
  </si>
  <si>
    <t>Samuel/Steven</t>
  </si>
  <si>
    <t>Combat resolves with visible HP, death, victory, and defeat.</t>
  </si>
  <si>
    <t>B1-09</t>
  </si>
  <si>
    <t>Add pause inspection.</t>
  </si>
  <si>
    <t>Player can pause and inspect unit stats/actions.</t>
  </si>
  <si>
    <t>B1-10</t>
  </si>
  <si>
    <t>Add combat log.</t>
  </si>
  <si>
    <t>Combat log explains attacks, damage, deaths, and outcomes.</t>
  </si>
  <si>
    <t>B1-11</t>
  </si>
  <si>
    <t>Add result screen.</t>
  </si>
  <si>
    <t>Result screen appears after victory or defeat.</t>
  </si>
  <si>
    <t>B15-01</t>
  </si>
  <si>
    <t>Add Floor 2.</t>
  </si>
  <si>
    <t>B1 Gate</t>
  </si>
  <si>
    <t>Second floor loads from data.</t>
  </si>
  <si>
    <t>B15-02</t>
  </si>
  <si>
    <t>Add retry.</t>
  </si>
  <si>
    <t>Current battle can reset cleanly.</t>
  </si>
  <si>
    <t>B15-03</t>
  </si>
  <si>
    <t>Add battle speed controls.</t>
  </si>
  <si>
    <t>1x/2x/4x controls work and are visible.</t>
  </si>
  <si>
    <t>Should</t>
  </si>
  <si>
    <t>B15-04</t>
  </si>
  <si>
    <t>Add type advantage.</t>
  </si>
  <si>
    <t>Damage modifier is applied and logged.</t>
  </si>
  <si>
    <t>B15-05</t>
  </si>
  <si>
    <t>Add basic hit feedback.</t>
  </si>
  <si>
    <t>Hits have simple visual feedback.</t>
  </si>
  <si>
    <t>B15-06</t>
  </si>
  <si>
    <t>Refactor battle initialization so another scene can launch combat.</t>
  </si>
  <si>
    <t>Combat can accept external hero and floor inputs.</t>
  </si>
  <si>
    <t>B15-07</t>
  </si>
  <si>
    <t>Fix obvious bugs and tuning issues.</t>
  </si>
  <si>
    <t>B15-01:B15-06</t>
  </si>
  <si>
    <t>Two floors are readable and stable.</t>
  </si>
  <si>
    <t>B2-01</t>
  </si>
  <si>
    <t>Add hero data model.</t>
  </si>
  <si>
    <t>L</t>
  </si>
  <si>
    <t>B15 Gate</t>
  </si>
  <si>
    <t>Hero stores identity, stats, job, XP, and save fields.</t>
  </si>
  <si>
    <t>B2-02</t>
  </si>
  <si>
    <t>Add roster manager.</t>
  </si>
  <si>
    <t>Roster can add, list, select, and serialize heroes.</t>
  </si>
  <si>
    <t>B2-03</t>
  </si>
  <si>
    <t>Add simple town hub.</t>
  </si>
  <si>
    <t>One town screen links summon, train, roster/deploy.</t>
  </si>
  <si>
    <t>B2-04</t>
  </si>
  <si>
    <t>Add summoning.</t>
  </si>
  <si>
    <t>B2-01, B2-03</t>
  </si>
  <si>
    <t>Player can create raw heroes and add them to roster.</t>
  </si>
  <si>
    <t>B2-05</t>
  </si>
  <si>
    <t>Add training into five jobs.</t>
  </si>
  <si>
    <t>Raw heroes can become Warrior, Guardian, Archer, Mage, or Healer.</t>
  </si>
  <si>
    <t>B2-06</t>
  </si>
  <si>
    <t>Feed job stats into combat.</t>
  </si>
  <si>
    <t>Combat stats come from trained roster heroes.</t>
  </si>
  <si>
    <t>B2-07</t>
  </si>
  <si>
    <t>Add deployment from roster.</t>
  </si>
  <si>
    <t>B2-02, B2-06</t>
  </si>
  <si>
    <t>Selected roster heroes deploy into battle.</t>
  </si>
  <si>
    <t>B2-08</t>
  </si>
  <si>
    <t>Add battle rewards.</t>
  </si>
  <si>
    <t>Victories grant XP and update floor progress.</t>
  </si>
  <si>
    <t>B2-09</t>
  </si>
  <si>
    <t>Add save/load here, not later.</t>
  </si>
  <si>
    <t>B2-02, B2-08</t>
  </si>
  <si>
    <t>Roster and progress persist after restart.</t>
  </si>
  <si>
    <t>B2-10</t>
  </si>
  <si>
    <t>Add Floor 3 only after roster combat works.</t>
  </si>
  <si>
    <t>Third floor is playable with real roster stats.</t>
  </si>
  <si>
    <t>B3-01</t>
  </si>
  <si>
    <t>Add hero death state.</t>
  </si>
  <si>
    <t>B2 Gate</t>
  </si>
  <si>
    <t>Dead heroes leave normal availability after battle.</t>
  </si>
  <si>
    <t>B3-02</t>
  </si>
  <si>
    <t>Add Shrine revival.</t>
  </si>
  <si>
    <t>Dead heroes can be revived without softlock.</t>
  </si>
  <si>
    <t>B3-03</t>
  </si>
  <si>
    <t>Add one simple consequence: permanent loss or inheritance.</t>
  </si>
  <si>
    <t>One consequence path exists; not both unless ahead.</t>
  </si>
  <si>
    <t>B3-04</t>
  </si>
  <si>
    <t>Add one item: Elixir.</t>
  </si>
  <si>
    <t>Elixir auto-triggers and is consumed.</t>
  </si>
  <si>
    <t>B3-05</t>
  </si>
  <si>
    <t>Add Floors 4 and 5.</t>
  </si>
  <si>
    <t>Floors 4 and 5 load from data.</t>
  </si>
  <si>
    <t>Cut Floor 5 if late.</t>
  </si>
  <si>
    <t>B3-06</t>
  </si>
  <si>
    <t>Add final boss as a strong enemy, not a new boss framework.</t>
  </si>
  <si>
    <t>Final floor has a strong readable enemy encounter.</t>
  </si>
  <si>
    <t>B3-07</t>
  </si>
  <si>
    <t>Add tutorial prompts.</t>
  </si>
  <si>
    <t>First-time prompts explain summon, train, deploy, battle, death.</t>
  </si>
  <si>
    <t>B3-08</t>
  </si>
  <si>
    <t>Polish UI readability.</t>
  </si>
  <si>
    <t>Core flow is readable for new players.</t>
  </si>
  <si>
    <t>B3-09</t>
  </si>
  <si>
    <t>Add placeholder audio/VFX.</t>
  </si>
  <si>
    <t>Combat and UI have basic feedback.</t>
  </si>
  <si>
    <t>B3-10</t>
  </si>
  <si>
    <t>Build, playtest, fix, lock.</t>
  </si>
  <si>
    <t>B3-01:B3-09</t>
  </si>
  <si>
    <t>Final build is locked after playtest fixes.</t>
  </si>
  <si>
    <t>Rule</t>
  </si>
  <si>
    <t>Applies To</t>
  </si>
  <si>
    <t>C-01</t>
  </si>
  <si>
    <t>If Build 1 is late, cut all town work until combat is playable.</t>
  </si>
  <si>
    <t>Active</t>
  </si>
  <si>
    <t>C-02</t>
  </si>
  <si>
    <t>If Build 2 is late, cut squads, synergies, equipment, and items.</t>
  </si>
  <si>
    <t>C-03</t>
  </si>
  <si>
    <t>If Build 3 is late, cut Floor 5 before cutting polish/readability.</t>
  </si>
  <si>
    <t>C-04</t>
  </si>
  <si>
    <t>If save/load is unstable, simplify save data instead of adding new systems.</t>
  </si>
  <si>
    <t>C-05</t>
  </si>
  <si>
    <t>No new systems after final playtest starts.</t>
  </si>
  <si>
    <t>Feature</t>
  </si>
  <si>
    <t>Reason Deferred</t>
  </si>
  <si>
    <t>Default Status</t>
  </si>
  <si>
    <t>S-01</t>
  </si>
  <si>
    <t>Restaurant</t>
  </si>
  <si>
    <t>Not needed for core loop.</t>
  </si>
  <si>
    <t>Stretch</t>
  </si>
  <si>
    <t>S-02</t>
  </si>
  <si>
    <t>Invasion</t>
  </si>
  <si>
    <t>High complexity; threatens final demo.</t>
  </si>
  <si>
    <t>S-03</t>
  </si>
  <si>
    <t>Advanced equipment locking</t>
  </si>
  <si>
    <t>Adds save/edge-case complexity.</t>
  </si>
  <si>
    <t>S-04</t>
  </si>
  <si>
    <t>Multiple consumables</t>
  </si>
  <si>
    <t>Ship Elixir only first.</t>
  </si>
  <si>
    <t>S-05</t>
  </si>
  <si>
    <t>Multi-phase boss</t>
  </si>
  <si>
    <t>Strong single enemy is enough.</t>
  </si>
  <si>
    <t>S-06</t>
  </si>
  <si>
    <t>Large hero pool</t>
  </si>
  <si>
    <t>Small readable roster is better.</t>
  </si>
  <si>
    <t>S-07</t>
  </si>
  <si>
    <t>Deep inheritance</t>
  </si>
  <si>
    <t>One consequence path is enough.</t>
  </si>
  <si>
    <t>Scenario</t>
  </si>
  <si>
    <t>Acceptance Check</t>
  </si>
  <si>
    <t>Result Notes</t>
  </si>
  <si>
    <t>T-01</t>
  </si>
  <si>
    <t>Setup build test</t>
  </si>
  <si>
    <t>Unity project opens, first scene runs, and Windows test build is produced.</t>
  </si>
  <si>
    <t>T-02</t>
  </si>
  <si>
    <t>Combat core test</t>
  </si>
  <si>
    <t>One floor is playable from deploy to win/loss with pause inspection and combat log.</t>
  </si>
  <si>
    <t>T-03</t>
  </si>
  <si>
    <t>Combat hardening test</t>
  </si>
  <si>
    <t>Two floors load from data and accept external hero/floor inputs.</t>
  </si>
  <si>
    <t>T-04</t>
  </si>
  <si>
    <t>Preparation loop test</t>
  </si>
  <si>
    <t>Summon/train/deploy real roster heroes, clear a floor, gain XP, save/load, and return to town.</t>
  </si>
  <si>
    <t>T-05</t>
  </si>
  <si>
    <t>Consequence test</t>
  </si>
  <si>
    <t>Hero death and Shrine revival work without softlocks.</t>
  </si>
  <si>
    <t>T-06</t>
  </si>
  <si>
    <t>Final demo test</t>
  </si>
  <si>
    <t>New player completes the demo without developer explanation.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</si>
</sst>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F5D62"/>
      </patternFill>
    </fill>
    <fill>
      <patternFill patternType="solid">
        <fgColor rgb="FF5B6770"/>
      </patternFill>
    </fill>
  </fills>
  <borders count="4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28"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  <dxf>
      <font>
        <color rgb="FF4B5563"/>
      </font>
      <fill>
        <patternFill patternType="solid">
          <fgColor rgb="FFE5E7EB"/>
        </patternFill>
      </fill>
    </dxf>
    <dxf>
      <font>
        <color rgb="FF991B1B"/>
      </font>
      <fill>
        <patternFill patternType="solid">
          <fgColor rgb="FFF4CCCC"/>
        </patternFill>
      </fill>
    </dxf>
    <dxf>
      <font>
        <color rgb="FF92400E"/>
      </font>
      <fill>
        <patternFill patternType="solid">
          <fgColor rgb="FFFFF2CC"/>
        </patternFill>
      </fill>
    </dxf>
    <dxf>
      <font>
        <color rgb="FF166534"/>
      </font>
      <fill>
        <patternFill patternType="solid">
          <fgColor rgb="FFD9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CA"/>
              <a:t>Tasks by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Task 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Dashboard!$A$11:$A$15</c:f>
              <c:strCache>
                <c:ptCount val="5"/>
                <c:pt idx="0">
                  <c:v>Not Started</c:v>
                </c:pt>
                <c:pt idx="1">
                  <c:v>In Progress</c:v>
                </c:pt>
                <c:pt idx="2">
                  <c:v>Blocked</c:v>
                </c:pt>
                <c:pt idx="3">
                  <c:v>Done</c:v>
                </c:pt>
                <c:pt idx="4">
                  <c:v>Cut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38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3D-4B01-AB73-863763DF6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GateSummary" displayName="BuildGateSummary" ref="A3:D8">
  <autoFilter ref="A3:D8" xr:uid="{00000000-0009-0000-0100-000001000000}"/>
  <tableColumns count="4">
    <tableColumn id="1" xr3:uid="{00000000-0010-0000-0000-000001000000}" name="Build"/>
    <tableColumn id="2" xr3:uid="{00000000-0010-0000-0000-000002000000}" name="Goal"/>
    <tableColumn id="3" xr3:uid="{00000000-0010-0000-0000-000003000000}" name="Gate"/>
    <tableColumn id="4" xr3:uid="{00000000-0010-0000-0000-000004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inalDemoMinimum" displayName="FinalDemoMinimum" ref="A18:C25">
  <autoFilter ref="A18:C25" xr:uid="{00000000-0009-0000-0100-000002000000}"/>
  <tableColumns count="3">
    <tableColumn id="1" xr3:uid="{00000000-0010-0000-0100-000001000000}" name="Final Demo Minimum"/>
    <tableColumn id="2" xr3:uid="{00000000-0010-0000-0100-000002000000}" name="Priority"/>
    <tableColumn id="3" xr3:uid="{00000000-0010-0000-0100-000003000000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lTasks" displayName="AllTasks" ref="A1:J43">
  <autoFilter ref="A1:J43" xr:uid="{00000000-0009-0000-0100-000003000000}"/>
  <tableColumns count="10">
    <tableColumn id="1" xr3:uid="{00000000-0010-0000-0200-000001000000}" name="ID"/>
    <tableColumn id="2" xr3:uid="{00000000-0010-0000-0200-000002000000}" name="Build"/>
    <tableColumn id="3" xr3:uid="{00000000-0010-0000-0200-000003000000}" name="Task"/>
    <tableColumn id="4" xr3:uid="{00000000-0010-0000-0200-000004000000}" name="Owner"/>
    <tableColumn id="5" xr3:uid="{00000000-0010-0000-0200-000005000000}" name="Effort"/>
    <tableColumn id="6" xr3:uid="{00000000-0010-0000-0200-000006000000}" name="Status"/>
    <tableColumn id="7" xr3:uid="{00000000-0010-0000-0200-000007000000}" name="Depends On"/>
    <tableColumn id="8" xr3:uid="{00000000-0010-0000-0200-000008000000}" name="Acceptance Criteria"/>
    <tableColumn id="9" xr3:uid="{00000000-0010-0000-0200-000009000000}" name="Priority"/>
    <tableColumn id="10" xr3:uid="{00000000-0010-0000-0200-00000A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ild0Tasks" displayName="Build0Tasks" ref="A1:J5">
  <autoFilter ref="A1:J5" xr:uid="{00000000-0009-0000-0100-000004000000}"/>
  <tableColumns count="10">
    <tableColumn id="1" xr3:uid="{00000000-0010-0000-0300-000001000000}" name="ID"/>
    <tableColumn id="2" xr3:uid="{00000000-0010-0000-0300-000002000000}" name="Build"/>
    <tableColumn id="3" xr3:uid="{00000000-0010-0000-0300-000003000000}" name="Task"/>
    <tableColumn id="4" xr3:uid="{00000000-0010-0000-0300-000004000000}" name="Owner"/>
    <tableColumn id="5" xr3:uid="{00000000-0010-0000-0300-000005000000}" name="Effort"/>
    <tableColumn id="6" xr3:uid="{00000000-0010-0000-0300-000006000000}" name="Status"/>
    <tableColumn id="7" xr3:uid="{00000000-0010-0000-0300-000007000000}" name="Depends On"/>
    <tableColumn id="8" xr3:uid="{00000000-0010-0000-0300-000008000000}" name="Acceptance Criteria"/>
    <tableColumn id="9" xr3:uid="{00000000-0010-0000-0300-000009000000}" name="Priority"/>
    <tableColumn id="10" xr3:uid="{00000000-0010-0000-0300-00000A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uild1Tasks" displayName="Build1Tasks" ref="A1:J12">
  <autoFilter ref="A1:J12" xr:uid="{00000000-0009-0000-0100-000005000000}"/>
  <tableColumns count="10">
    <tableColumn id="1" xr3:uid="{00000000-0010-0000-0400-000001000000}" name="ID"/>
    <tableColumn id="2" xr3:uid="{00000000-0010-0000-0400-000002000000}" name="Build"/>
    <tableColumn id="3" xr3:uid="{00000000-0010-0000-0400-000003000000}" name="Task"/>
    <tableColumn id="4" xr3:uid="{00000000-0010-0000-0400-000004000000}" name="Owner"/>
    <tableColumn id="5" xr3:uid="{00000000-0010-0000-0400-000005000000}" name="Effort"/>
    <tableColumn id="6" xr3:uid="{00000000-0010-0000-0400-000006000000}" name="Status"/>
    <tableColumn id="7" xr3:uid="{00000000-0010-0000-0400-000007000000}" name="Depends On"/>
    <tableColumn id="8" xr3:uid="{00000000-0010-0000-0400-000008000000}" name="Acceptance Criteria"/>
    <tableColumn id="9" xr3:uid="{00000000-0010-0000-0400-000009000000}" name="Priority"/>
    <tableColumn id="10" xr3:uid="{00000000-0010-0000-0400-00000A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uild15Tasks" displayName="Build15Tasks" ref="A1:J8">
  <autoFilter ref="A1:J8" xr:uid="{00000000-0009-0000-0100-000006000000}"/>
  <tableColumns count="10">
    <tableColumn id="1" xr3:uid="{00000000-0010-0000-0500-000001000000}" name="ID"/>
    <tableColumn id="2" xr3:uid="{00000000-0010-0000-0500-000002000000}" name="Build"/>
    <tableColumn id="3" xr3:uid="{00000000-0010-0000-0500-000003000000}" name="Task"/>
    <tableColumn id="4" xr3:uid="{00000000-0010-0000-0500-000004000000}" name="Owner"/>
    <tableColumn id="5" xr3:uid="{00000000-0010-0000-0500-000005000000}" name="Effort"/>
    <tableColumn id="6" xr3:uid="{00000000-0010-0000-0500-000006000000}" name="Status"/>
    <tableColumn id="7" xr3:uid="{00000000-0010-0000-0500-000007000000}" name="Depends On"/>
    <tableColumn id="8" xr3:uid="{00000000-0010-0000-0500-000008000000}" name="Acceptance Criteria"/>
    <tableColumn id="9" xr3:uid="{00000000-0010-0000-0500-000009000000}" name="Priority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Build2Tasks" displayName="Build2Tasks" ref="A1:J11">
  <autoFilter ref="A1:J11" xr:uid="{00000000-0009-0000-0100-000007000000}"/>
  <tableColumns count="10">
    <tableColumn id="1" xr3:uid="{00000000-0010-0000-0600-000001000000}" name="ID"/>
    <tableColumn id="2" xr3:uid="{00000000-0010-0000-0600-000002000000}" name="Build"/>
    <tableColumn id="3" xr3:uid="{00000000-0010-0000-0600-000003000000}" name="Task"/>
    <tableColumn id="4" xr3:uid="{00000000-0010-0000-0600-000004000000}" name="Owner"/>
    <tableColumn id="5" xr3:uid="{00000000-0010-0000-0600-000005000000}" name="Effort"/>
    <tableColumn id="6" xr3:uid="{00000000-0010-0000-0600-000006000000}" name="Status"/>
    <tableColumn id="7" xr3:uid="{00000000-0010-0000-0600-000007000000}" name="Depends On"/>
    <tableColumn id="8" xr3:uid="{00000000-0010-0000-0600-000008000000}" name="Acceptance Criteria"/>
    <tableColumn id="9" xr3:uid="{00000000-0010-0000-0600-000009000000}" name="Priority"/>
    <tableColumn id="10" xr3:uid="{00000000-0010-0000-0600-00000A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uild3Tasks" displayName="Build3Tasks" ref="A1:J11">
  <autoFilter ref="A1:J11" xr:uid="{00000000-0009-0000-0100-000008000000}"/>
  <tableColumns count="10">
    <tableColumn id="1" xr3:uid="{00000000-0010-0000-0700-000001000000}" name="ID"/>
    <tableColumn id="2" xr3:uid="{00000000-0010-0000-0700-000002000000}" name="Build"/>
    <tableColumn id="3" xr3:uid="{00000000-0010-0000-0700-000003000000}" name="Task"/>
    <tableColumn id="4" xr3:uid="{00000000-0010-0000-0700-000004000000}" name="Owner"/>
    <tableColumn id="5" xr3:uid="{00000000-0010-0000-0700-000005000000}" name="Effort"/>
    <tableColumn id="6" xr3:uid="{00000000-0010-0000-0700-000006000000}" name="Status"/>
    <tableColumn id="7" xr3:uid="{00000000-0010-0000-0700-000007000000}" name="Depends On"/>
    <tableColumn id="8" xr3:uid="{00000000-0010-0000-0700-000008000000}" name="Acceptance Criteria"/>
    <tableColumn id="9" xr3:uid="{00000000-0010-0000-0700-000009000000}" name="Priority"/>
    <tableColumn id="10" xr3:uid="{00000000-0010-0000-0700-00000A000000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HardCutRules" displayName="HardCutRules" ref="A1:D6">
  <autoFilter ref="A1:D6" xr:uid="{00000000-0009-0000-0100-000009000000}"/>
  <tableColumns count="4">
    <tableColumn id="1" xr3:uid="{00000000-0010-0000-0800-000001000000}" name="ID"/>
    <tableColumn id="2" xr3:uid="{00000000-0010-0000-0800-000002000000}" name="Rule"/>
    <tableColumn id="3" xr3:uid="{00000000-0010-0000-0800-000003000000}" name="Applies To"/>
    <tableColumn id="4" xr3:uid="{00000000-0010-0000-0800-000004000000}" name="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tretchOnly" displayName="StretchOnly" ref="A1:E8">
  <autoFilter ref="A1:E8" xr:uid="{00000000-0009-0000-0100-00000A000000}"/>
  <tableColumns count="5">
    <tableColumn id="1" xr3:uid="{00000000-0010-0000-0900-000001000000}" name="ID"/>
    <tableColumn id="2" xr3:uid="{00000000-0010-0000-0900-000002000000}" name="Feature"/>
    <tableColumn id="3" xr3:uid="{00000000-0010-0000-0900-000003000000}" name="Reason Deferred"/>
    <tableColumn id="4" xr3:uid="{00000000-0010-0000-0900-000004000000}" name="Priority"/>
    <tableColumn id="5" xr3:uid="{00000000-0010-0000-0900-000005000000}" name="Default 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estPlan" displayName="TestPlan" ref="A1:F7">
  <autoFilter ref="A1:F7" xr:uid="{00000000-0009-0000-0100-00000B000000}"/>
  <tableColumns count="6">
    <tableColumn id="1" xr3:uid="{00000000-0010-0000-0A00-000001000000}" name="ID"/>
    <tableColumn id="2" xr3:uid="{00000000-0010-0000-0A00-000002000000}" name="Scenario"/>
    <tableColumn id="3" xr3:uid="{00000000-0010-0000-0A00-000003000000}" name="Acceptance Check"/>
    <tableColumn id="4" xr3:uid="{00000000-0010-0000-0A00-000004000000}" name="Owner"/>
    <tableColumn id="5" xr3:uid="{00000000-0010-0000-0A00-000005000000}" name="Status"/>
    <tableColumn id="6" xr3:uid="{00000000-0010-0000-0A00-000006000000}" name="Result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pane ySplit="2" topLeftCell="A3" activePane="bottomLeft" state="frozen"/>
      <selection pane="bottomLeft" activeCell="F8" sqref="F8"/>
    </sheetView>
  </sheetViews>
  <sheetFormatPr defaultRowHeight="14.4" x14ac:dyDescent="0.3"/>
  <cols>
    <col min="1" max="1" width="34" customWidth="1"/>
    <col min="2" max="2" width="14" customWidth="1"/>
    <col min="3" max="3" width="16" customWidth="1"/>
    <col min="4" max="4" width="18" customWidth="1"/>
    <col min="5" max="5" width="14" customWidth="1"/>
    <col min="6" max="8" width="12" customWidth="1"/>
  </cols>
  <sheetData>
    <row r="1" spans="1:8" x14ac:dyDescent="0.3">
      <c r="A1" s="5" t="s">
        <v>0</v>
      </c>
      <c r="B1" s="6"/>
      <c r="C1" s="6"/>
      <c r="D1" s="6"/>
      <c r="E1" s="6"/>
      <c r="F1" s="6"/>
      <c r="G1" s="6"/>
      <c r="H1" s="7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2" t="s">
        <v>1</v>
      </c>
      <c r="B3" s="2" t="s">
        <v>2</v>
      </c>
      <c r="C3" s="2" t="s">
        <v>3</v>
      </c>
      <c r="D3" s="2" t="s">
        <v>4</v>
      </c>
      <c r="E3" s="2"/>
      <c r="F3" s="2"/>
      <c r="G3" s="2"/>
      <c r="H3" s="2"/>
    </row>
    <row r="4" spans="1:8" ht="57.6" x14ac:dyDescent="0.3">
      <c r="A4" s="1" t="s">
        <v>5</v>
      </c>
      <c r="B4" s="1" t="s">
        <v>6</v>
      </c>
      <c r="C4" s="1" t="s">
        <v>7</v>
      </c>
      <c r="D4" s="1" t="s">
        <v>8</v>
      </c>
      <c r="E4" s="1"/>
      <c r="F4" s="1"/>
      <c r="G4" s="1"/>
      <c r="H4" s="1"/>
    </row>
    <row r="5" spans="1:8" ht="43.2" x14ac:dyDescent="0.3">
      <c r="A5" s="1" t="s">
        <v>9</v>
      </c>
      <c r="B5" s="1" t="s">
        <v>10</v>
      </c>
      <c r="C5" s="1" t="s">
        <v>11</v>
      </c>
      <c r="D5" s="1" t="s">
        <v>8</v>
      </c>
      <c r="E5" s="1"/>
      <c r="F5" s="1"/>
      <c r="G5" s="1"/>
      <c r="H5" s="1"/>
    </row>
    <row r="6" spans="1:8" ht="43.2" x14ac:dyDescent="0.3">
      <c r="A6" s="1" t="s">
        <v>12</v>
      </c>
      <c r="B6" s="1" t="s">
        <v>13</v>
      </c>
      <c r="C6" s="1" t="s">
        <v>14</v>
      </c>
      <c r="D6" s="1" t="s">
        <v>8</v>
      </c>
      <c r="E6" s="1"/>
      <c r="F6" s="1"/>
      <c r="G6" s="1"/>
      <c r="H6" s="1"/>
    </row>
    <row r="7" spans="1:8" ht="43.2" x14ac:dyDescent="0.3">
      <c r="A7" s="1" t="s">
        <v>15</v>
      </c>
      <c r="B7" s="1" t="s">
        <v>16</v>
      </c>
      <c r="C7" s="1" t="s">
        <v>17</v>
      </c>
      <c r="D7" s="1" t="s">
        <v>8</v>
      </c>
      <c r="E7" s="1"/>
      <c r="F7" s="1"/>
      <c r="G7" s="1"/>
      <c r="H7" s="1"/>
    </row>
    <row r="8" spans="1:8" ht="57.6" x14ac:dyDescent="0.3">
      <c r="A8" s="1" t="s">
        <v>18</v>
      </c>
      <c r="B8" s="1" t="s">
        <v>19</v>
      </c>
      <c r="C8" s="1" t="s">
        <v>20</v>
      </c>
      <c r="D8" s="1" t="s">
        <v>8</v>
      </c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3" t="s">
        <v>4</v>
      </c>
      <c r="B10" s="3" t="s">
        <v>21</v>
      </c>
      <c r="C10" s="1"/>
      <c r="D10" s="3" t="s">
        <v>22</v>
      </c>
      <c r="E10" s="3" t="s">
        <v>21</v>
      </c>
      <c r="F10" s="1"/>
      <c r="G10" s="1"/>
      <c r="H10" s="1"/>
    </row>
    <row r="11" spans="1:8" x14ac:dyDescent="0.3">
      <c r="A11" s="1" t="s">
        <v>8</v>
      </c>
      <c r="B11" s="1">
        <f>COUNTIF('All Tasks'!$F$2:$F$43,A11)</f>
        <v>38</v>
      </c>
      <c r="C11" s="1"/>
      <c r="D11" s="1" t="s">
        <v>23</v>
      </c>
      <c r="E11" s="1">
        <f>COUNTIF('All Tasks'!$D$2:$D$43,"*Samuel*")</f>
        <v>22</v>
      </c>
      <c r="F11" s="1"/>
      <c r="G11" s="1"/>
      <c r="H11" s="1"/>
    </row>
    <row r="12" spans="1:8" x14ac:dyDescent="0.3">
      <c r="A12" s="1" t="s">
        <v>24</v>
      </c>
      <c r="B12" s="1">
        <f>COUNTIF('All Tasks'!$F$2:$F$43,A12)</f>
        <v>0</v>
      </c>
      <c r="C12" s="1"/>
      <c r="D12" s="1" t="s">
        <v>25</v>
      </c>
      <c r="E12" s="1">
        <f>COUNTIF('All Tasks'!$D$2:$D$43,"*Steven*")</f>
        <v>15</v>
      </c>
      <c r="F12" s="1"/>
      <c r="G12" s="1"/>
      <c r="H12" s="1"/>
    </row>
    <row r="13" spans="1:8" x14ac:dyDescent="0.3">
      <c r="A13" s="1" t="s">
        <v>26</v>
      </c>
      <c r="B13" s="1">
        <f>COUNTIF('All Tasks'!$F$2:$F$43,A13)</f>
        <v>0</v>
      </c>
      <c r="C13" s="1"/>
      <c r="D13" s="1" t="s">
        <v>27</v>
      </c>
      <c r="E13" s="1">
        <f>COUNTIF('All Tasks'!$D$2:$D$43,"*Guillermo*")</f>
        <v>10</v>
      </c>
      <c r="F13" s="1"/>
      <c r="G13" s="1"/>
      <c r="H13" s="1"/>
    </row>
    <row r="14" spans="1:8" x14ac:dyDescent="0.3">
      <c r="A14" s="1" t="s">
        <v>28</v>
      </c>
      <c r="B14" s="1">
        <f>COUNTIF('All Tasks'!$F$2:$F$43,A14)</f>
        <v>4</v>
      </c>
      <c r="C14" s="1"/>
      <c r="D14" s="1" t="s">
        <v>29</v>
      </c>
      <c r="E14" s="1">
        <f>COUNTIF('All Tasks'!$D$2:$D$43,"*All*")</f>
        <v>2</v>
      </c>
      <c r="F14" s="1"/>
      <c r="G14" s="1"/>
      <c r="H14" s="1"/>
    </row>
    <row r="15" spans="1:8" x14ac:dyDescent="0.3">
      <c r="A15" s="1" t="s">
        <v>30</v>
      </c>
      <c r="B15" s="1">
        <f>COUNTIF('All Tasks'!$F$2:$F$43,A15)</f>
        <v>0</v>
      </c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2" t="s">
        <v>31</v>
      </c>
      <c r="B18" s="2" t="s">
        <v>32</v>
      </c>
      <c r="C18" s="2" t="s">
        <v>4</v>
      </c>
      <c r="D18" s="2"/>
      <c r="E18" s="2"/>
      <c r="F18" s="2"/>
      <c r="G18" s="2"/>
      <c r="H18" s="2"/>
    </row>
    <row r="19" spans="1:8" x14ac:dyDescent="0.3">
      <c r="A19" s="1" t="s">
        <v>33</v>
      </c>
      <c r="B19" s="1" t="s">
        <v>34</v>
      </c>
      <c r="C19" s="1" t="s">
        <v>8</v>
      </c>
      <c r="D19" s="1"/>
      <c r="E19" s="1"/>
      <c r="F19" s="1"/>
      <c r="G19" s="1"/>
      <c r="H19" s="1"/>
    </row>
    <row r="20" spans="1:8" x14ac:dyDescent="0.3">
      <c r="A20" s="1" t="s">
        <v>35</v>
      </c>
      <c r="B20" s="1" t="s">
        <v>34</v>
      </c>
      <c r="C20" s="1" t="s">
        <v>8</v>
      </c>
      <c r="D20" s="1"/>
      <c r="E20" s="1"/>
      <c r="F20" s="1"/>
      <c r="G20" s="1"/>
      <c r="H20" s="1"/>
    </row>
    <row r="21" spans="1:8" x14ac:dyDescent="0.3">
      <c r="A21" s="1" t="s">
        <v>36</v>
      </c>
      <c r="B21" s="1" t="s">
        <v>34</v>
      </c>
      <c r="C21" s="1" t="s">
        <v>8</v>
      </c>
      <c r="D21" s="1"/>
      <c r="E21" s="1"/>
      <c r="F21" s="1"/>
      <c r="G21" s="1"/>
      <c r="H21" s="1"/>
    </row>
    <row r="22" spans="1:8" x14ac:dyDescent="0.3">
      <c r="A22" s="1" t="s">
        <v>37</v>
      </c>
      <c r="B22" s="1" t="s">
        <v>34</v>
      </c>
      <c r="C22" s="1" t="s">
        <v>8</v>
      </c>
      <c r="D22" s="1"/>
      <c r="E22" s="1"/>
      <c r="F22" s="1"/>
      <c r="G22" s="1"/>
      <c r="H22" s="1"/>
    </row>
    <row r="23" spans="1:8" ht="28.8" x14ac:dyDescent="0.3">
      <c r="A23" s="1" t="s">
        <v>38</v>
      </c>
      <c r="B23" s="1" t="s">
        <v>34</v>
      </c>
      <c r="C23" s="1" t="s">
        <v>8</v>
      </c>
      <c r="D23" s="1"/>
      <c r="E23" s="1"/>
      <c r="F23" s="1"/>
      <c r="G23" s="1"/>
      <c r="H23" s="1"/>
    </row>
    <row r="24" spans="1:8" x14ac:dyDescent="0.3">
      <c r="A24" s="1" t="s">
        <v>39</v>
      </c>
      <c r="B24" s="1" t="s">
        <v>34</v>
      </c>
      <c r="C24" s="1" t="s">
        <v>8</v>
      </c>
      <c r="D24" s="1"/>
      <c r="E24" s="1"/>
      <c r="F24" s="1"/>
      <c r="G24" s="1"/>
      <c r="H24" s="1"/>
    </row>
    <row r="25" spans="1:8" ht="28.8" x14ac:dyDescent="0.3">
      <c r="A25" s="1" t="s">
        <v>40</v>
      </c>
      <c r="B25" s="1" t="s">
        <v>34</v>
      </c>
      <c r="C25" s="1" t="s">
        <v>8</v>
      </c>
      <c r="D25" s="1"/>
      <c r="E25" s="1"/>
      <c r="F25" s="1"/>
      <c r="G25" s="1"/>
      <c r="H25" s="1"/>
    </row>
  </sheetData>
  <mergeCells count="1">
    <mergeCell ref="A1:H1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3"/>
  <sheetViews>
    <sheetView workbookViewId="0">
      <pane ySplit="1" topLeftCell="A32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12" customWidth="1"/>
    <col min="3" max="3" width="42" customWidth="1"/>
    <col min="4" max="4" width="10" customWidth="1"/>
    <col min="5" max="5" width="8" customWidth="1"/>
    <col min="6" max="6" width="14" customWidth="1"/>
    <col min="7" max="7" width="18" customWidth="1"/>
    <col min="8" max="8" width="44" customWidth="1"/>
    <col min="9" max="9" width="11" customWidth="1"/>
    <col min="10" max="10" width="24" customWidth="1"/>
  </cols>
  <sheetData>
    <row r="1" spans="1:10" x14ac:dyDescent="0.3">
      <c r="A1" s="2" t="s">
        <v>41</v>
      </c>
      <c r="B1" s="2" t="s">
        <v>1</v>
      </c>
      <c r="C1" s="2" t="s">
        <v>42</v>
      </c>
      <c r="D1" s="2" t="s">
        <v>22</v>
      </c>
      <c r="E1" s="2" t="s">
        <v>43</v>
      </c>
      <c r="F1" s="2" t="s">
        <v>4</v>
      </c>
      <c r="G1" s="2" t="s">
        <v>44</v>
      </c>
      <c r="H1" s="2" t="s">
        <v>45</v>
      </c>
      <c r="I1" s="2" t="s">
        <v>32</v>
      </c>
      <c r="J1" s="2" t="s">
        <v>46</v>
      </c>
    </row>
    <row r="2" spans="1:10" ht="28.8" x14ac:dyDescent="0.3">
      <c r="A2" s="1" t="s">
        <v>47</v>
      </c>
      <c r="B2" s="1" t="s">
        <v>5</v>
      </c>
      <c r="C2" s="1" t="s">
        <v>48</v>
      </c>
      <c r="D2" s="1" t="s">
        <v>23</v>
      </c>
      <c r="E2" s="1" t="s">
        <v>49</v>
      </c>
      <c r="F2" s="1" t="s">
        <v>28</v>
      </c>
      <c r="G2" s="1" t="s">
        <v>50</v>
      </c>
      <c r="H2" s="1" t="s">
        <v>51</v>
      </c>
      <c r="I2" s="1" t="s">
        <v>34</v>
      </c>
      <c r="J2" s="1"/>
    </row>
    <row r="3" spans="1:10" ht="28.8" x14ac:dyDescent="0.3">
      <c r="A3" s="1" t="s">
        <v>52</v>
      </c>
      <c r="B3" s="1" t="s">
        <v>5</v>
      </c>
      <c r="C3" s="1" t="s">
        <v>53</v>
      </c>
      <c r="D3" s="1" t="s">
        <v>23</v>
      </c>
      <c r="E3" s="1" t="s">
        <v>54</v>
      </c>
      <c r="F3" s="1" t="s">
        <v>28</v>
      </c>
      <c r="G3" s="1" t="s">
        <v>47</v>
      </c>
      <c r="H3" s="1" t="s">
        <v>55</v>
      </c>
      <c r="I3" s="1" t="s">
        <v>34</v>
      </c>
      <c r="J3" s="1"/>
    </row>
    <row r="4" spans="1:10" ht="28.8" x14ac:dyDescent="0.3">
      <c r="A4" s="1" t="s">
        <v>56</v>
      </c>
      <c r="B4" s="1" t="s">
        <v>5</v>
      </c>
      <c r="C4" s="1" t="s">
        <v>57</v>
      </c>
      <c r="D4" s="1" t="s">
        <v>58</v>
      </c>
      <c r="E4" s="1" t="s">
        <v>49</v>
      </c>
      <c r="F4" s="1" t="s">
        <v>28</v>
      </c>
      <c r="G4" s="1" t="s">
        <v>47</v>
      </c>
      <c r="H4" s="1" t="s">
        <v>59</v>
      </c>
      <c r="I4" s="1" t="s">
        <v>34</v>
      </c>
      <c r="J4" s="1"/>
    </row>
    <row r="5" spans="1:10" x14ac:dyDescent="0.3">
      <c r="A5" s="1" t="s">
        <v>60</v>
      </c>
      <c r="B5" s="1" t="s">
        <v>5</v>
      </c>
      <c r="C5" s="1" t="s">
        <v>61</v>
      </c>
      <c r="D5" s="1" t="s">
        <v>27</v>
      </c>
      <c r="E5" s="1" t="s">
        <v>49</v>
      </c>
      <c r="F5" s="1" t="s">
        <v>28</v>
      </c>
      <c r="G5" s="1" t="s">
        <v>56</v>
      </c>
      <c r="H5" s="1" t="s">
        <v>62</v>
      </c>
      <c r="I5" s="1" t="s">
        <v>34</v>
      </c>
      <c r="J5" s="1"/>
    </row>
    <row r="6" spans="1:10" x14ac:dyDescent="0.3">
      <c r="A6" s="1" t="s">
        <v>63</v>
      </c>
      <c r="B6" s="1" t="s">
        <v>9</v>
      </c>
      <c r="C6" s="1" t="s">
        <v>64</v>
      </c>
      <c r="D6" s="1" t="s">
        <v>23</v>
      </c>
      <c r="E6" s="1" t="s">
        <v>49</v>
      </c>
      <c r="F6" s="1" t="s">
        <v>8</v>
      </c>
      <c r="G6" s="1" t="s">
        <v>65</v>
      </c>
      <c r="H6" s="1" t="s">
        <v>66</v>
      </c>
      <c r="I6" s="1" t="s">
        <v>34</v>
      </c>
      <c r="J6" s="1"/>
    </row>
    <row r="7" spans="1:10" x14ac:dyDescent="0.3">
      <c r="A7" s="1" t="s">
        <v>67</v>
      </c>
      <c r="B7" s="1" t="s">
        <v>9</v>
      </c>
      <c r="C7" s="1" t="s">
        <v>68</v>
      </c>
      <c r="D7" s="1" t="s">
        <v>27</v>
      </c>
      <c r="E7" s="1" t="s">
        <v>54</v>
      </c>
      <c r="F7" s="1" t="s">
        <v>8</v>
      </c>
      <c r="G7" s="1" t="s">
        <v>65</v>
      </c>
      <c r="H7" s="1" t="s">
        <v>69</v>
      </c>
      <c r="I7" s="1" t="s">
        <v>34</v>
      </c>
      <c r="J7" s="1"/>
    </row>
    <row r="8" spans="1:10" x14ac:dyDescent="0.3">
      <c r="A8" s="1" t="s">
        <v>70</v>
      </c>
      <c r="B8" s="1" t="s">
        <v>9</v>
      </c>
      <c r="C8" s="1" t="s">
        <v>71</v>
      </c>
      <c r="D8" s="1" t="s">
        <v>25</v>
      </c>
      <c r="E8" s="1" t="s">
        <v>49</v>
      </c>
      <c r="F8" s="1" t="s">
        <v>8</v>
      </c>
      <c r="G8" s="1" t="s">
        <v>72</v>
      </c>
      <c r="H8" s="1" t="s">
        <v>73</v>
      </c>
      <c r="I8" s="1" t="s">
        <v>34</v>
      </c>
      <c r="J8" s="1"/>
    </row>
    <row r="9" spans="1:10" x14ac:dyDescent="0.3">
      <c r="A9" s="1" t="s">
        <v>74</v>
      </c>
      <c r="B9" s="1" t="s">
        <v>9</v>
      </c>
      <c r="C9" s="1" t="s">
        <v>75</v>
      </c>
      <c r="D9" s="1" t="s">
        <v>27</v>
      </c>
      <c r="E9" s="1" t="s">
        <v>54</v>
      </c>
      <c r="F9" s="1" t="s">
        <v>8</v>
      </c>
      <c r="G9" s="1" t="s">
        <v>72</v>
      </c>
      <c r="H9" s="1" t="s">
        <v>76</v>
      </c>
      <c r="I9" s="1" t="s">
        <v>34</v>
      </c>
      <c r="J9" s="1"/>
    </row>
    <row r="10" spans="1:10" ht="28.8" x14ac:dyDescent="0.3">
      <c r="A10" s="1" t="s">
        <v>77</v>
      </c>
      <c r="B10" s="1" t="s">
        <v>9</v>
      </c>
      <c r="C10" s="1" t="s">
        <v>78</v>
      </c>
      <c r="D10" s="1" t="s">
        <v>23</v>
      </c>
      <c r="E10" s="1" t="s">
        <v>49</v>
      </c>
      <c r="F10" s="1" t="s">
        <v>8</v>
      </c>
      <c r="G10" s="1" t="s">
        <v>79</v>
      </c>
      <c r="H10" s="1" t="s">
        <v>80</v>
      </c>
      <c r="I10" s="1" t="s">
        <v>34</v>
      </c>
      <c r="J10" s="1"/>
    </row>
    <row r="11" spans="1:10" x14ac:dyDescent="0.3">
      <c r="A11" s="1" t="s">
        <v>81</v>
      </c>
      <c r="B11" s="1" t="s">
        <v>9</v>
      </c>
      <c r="C11" s="1" t="s">
        <v>82</v>
      </c>
      <c r="D11" s="1" t="s">
        <v>23</v>
      </c>
      <c r="E11" s="1" t="s">
        <v>49</v>
      </c>
      <c r="F11" s="1" t="s">
        <v>8</v>
      </c>
      <c r="G11" s="1" t="s">
        <v>77</v>
      </c>
      <c r="H11" s="1" t="s">
        <v>83</v>
      </c>
      <c r="I11" s="1" t="s">
        <v>34</v>
      </c>
      <c r="J11" s="1"/>
    </row>
    <row r="12" spans="1:10" ht="28.8" x14ac:dyDescent="0.3">
      <c r="A12" s="1" t="s">
        <v>84</v>
      </c>
      <c r="B12" s="1" t="s">
        <v>9</v>
      </c>
      <c r="C12" s="1" t="s">
        <v>85</v>
      </c>
      <c r="D12" s="1" t="s">
        <v>23</v>
      </c>
      <c r="E12" s="1" t="s">
        <v>49</v>
      </c>
      <c r="F12" s="1" t="s">
        <v>8</v>
      </c>
      <c r="G12" s="1" t="s">
        <v>81</v>
      </c>
      <c r="H12" s="1" t="s">
        <v>86</v>
      </c>
      <c r="I12" s="1" t="s">
        <v>34</v>
      </c>
      <c r="J12" s="1"/>
    </row>
    <row r="13" spans="1:10" ht="28.8" x14ac:dyDescent="0.3">
      <c r="A13" s="1" t="s">
        <v>87</v>
      </c>
      <c r="B13" s="1" t="s">
        <v>9</v>
      </c>
      <c r="C13" s="1" t="s">
        <v>88</v>
      </c>
      <c r="D13" s="1" t="s">
        <v>89</v>
      </c>
      <c r="E13" s="1" t="s">
        <v>49</v>
      </c>
      <c r="F13" s="1" t="s">
        <v>8</v>
      </c>
      <c r="G13" s="1" t="s">
        <v>84</v>
      </c>
      <c r="H13" s="1" t="s">
        <v>90</v>
      </c>
      <c r="I13" s="1" t="s">
        <v>34</v>
      </c>
      <c r="J13" s="1"/>
    </row>
    <row r="14" spans="1:10" x14ac:dyDescent="0.3">
      <c r="A14" s="1" t="s">
        <v>91</v>
      </c>
      <c r="B14" s="1" t="s">
        <v>9</v>
      </c>
      <c r="C14" s="1" t="s">
        <v>92</v>
      </c>
      <c r="D14" s="1" t="s">
        <v>25</v>
      </c>
      <c r="E14" s="1" t="s">
        <v>49</v>
      </c>
      <c r="F14" s="1" t="s">
        <v>8</v>
      </c>
      <c r="G14" s="1" t="s">
        <v>77</v>
      </c>
      <c r="H14" s="1" t="s">
        <v>93</v>
      </c>
      <c r="I14" s="1" t="s">
        <v>34</v>
      </c>
      <c r="J14" s="1"/>
    </row>
    <row r="15" spans="1:10" ht="28.8" x14ac:dyDescent="0.3">
      <c r="A15" s="1" t="s">
        <v>94</v>
      </c>
      <c r="B15" s="1" t="s">
        <v>9</v>
      </c>
      <c r="C15" s="1" t="s">
        <v>95</v>
      </c>
      <c r="D15" s="1" t="s">
        <v>25</v>
      </c>
      <c r="E15" s="1" t="s">
        <v>49</v>
      </c>
      <c r="F15" s="1" t="s">
        <v>8</v>
      </c>
      <c r="G15" s="1" t="s">
        <v>87</v>
      </c>
      <c r="H15" s="1" t="s">
        <v>96</v>
      </c>
      <c r="I15" s="1" t="s">
        <v>34</v>
      </c>
      <c r="J15" s="1"/>
    </row>
    <row r="16" spans="1:10" x14ac:dyDescent="0.3">
      <c r="A16" s="1" t="s">
        <v>97</v>
      </c>
      <c r="B16" s="1" t="s">
        <v>9</v>
      </c>
      <c r="C16" s="1" t="s">
        <v>98</v>
      </c>
      <c r="D16" s="1" t="s">
        <v>25</v>
      </c>
      <c r="E16" s="1" t="s">
        <v>54</v>
      </c>
      <c r="F16" s="1" t="s">
        <v>8</v>
      </c>
      <c r="G16" s="1" t="s">
        <v>87</v>
      </c>
      <c r="H16" s="1" t="s">
        <v>99</v>
      </c>
      <c r="I16" s="1" t="s">
        <v>34</v>
      </c>
      <c r="J16" s="1"/>
    </row>
    <row r="17" spans="1:10" x14ac:dyDescent="0.3">
      <c r="A17" s="1" t="s">
        <v>100</v>
      </c>
      <c r="B17" s="1" t="s">
        <v>12</v>
      </c>
      <c r="C17" s="1" t="s">
        <v>101</v>
      </c>
      <c r="D17" s="1" t="s">
        <v>27</v>
      </c>
      <c r="E17" s="1" t="s">
        <v>54</v>
      </c>
      <c r="F17" s="1" t="s">
        <v>8</v>
      </c>
      <c r="G17" s="1" t="s">
        <v>102</v>
      </c>
      <c r="H17" s="1" t="s">
        <v>103</v>
      </c>
      <c r="I17" s="1" t="s">
        <v>34</v>
      </c>
      <c r="J17" s="1"/>
    </row>
    <row r="18" spans="1:10" x14ac:dyDescent="0.3">
      <c r="A18" s="1" t="s">
        <v>104</v>
      </c>
      <c r="B18" s="1" t="s">
        <v>12</v>
      </c>
      <c r="C18" s="1" t="s">
        <v>105</v>
      </c>
      <c r="D18" s="1" t="s">
        <v>25</v>
      </c>
      <c r="E18" s="1" t="s">
        <v>54</v>
      </c>
      <c r="F18" s="1" t="s">
        <v>8</v>
      </c>
      <c r="G18" s="1" t="s">
        <v>97</v>
      </c>
      <c r="H18" s="1" t="s">
        <v>106</v>
      </c>
      <c r="I18" s="1" t="s">
        <v>34</v>
      </c>
      <c r="J18" s="1"/>
    </row>
    <row r="19" spans="1:10" x14ac:dyDescent="0.3">
      <c r="A19" s="1" t="s">
        <v>107</v>
      </c>
      <c r="B19" s="1" t="s">
        <v>12</v>
      </c>
      <c r="C19" s="1" t="s">
        <v>108</v>
      </c>
      <c r="D19" s="1" t="s">
        <v>25</v>
      </c>
      <c r="E19" s="1" t="s">
        <v>54</v>
      </c>
      <c r="F19" s="1" t="s">
        <v>8</v>
      </c>
      <c r="G19" s="1" t="s">
        <v>77</v>
      </c>
      <c r="H19" s="1" t="s">
        <v>109</v>
      </c>
      <c r="I19" s="1" t="s">
        <v>110</v>
      </c>
      <c r="J19" s="1"/>
    </row>
    <row r="20" spans="1:10" x14ac:dyDescent="0.3">
      <c r="A20" s="1" t="s">
        <v>111</v>
      </c>
      <c r="B20" s="1" t="s">
        <v>12</v>
      </c>
      <c r="C20" s="1" t="s">
        <v>112</v>
      </c>
      <c r="D20" s="1" t="s">
        <v>23</v>
      </c>
      <c r="E20" s="1" t="s">
        <v>54</v>
      </c>
      <c r="F20" s="1" t="s">
        <v>8</v>
      </c>
      <c r="G20" s="1" t="s">
        <v>87</v>
      </c>
      <c r="H20" s="1" t="s">
        <v>113</v>
      </c>
      <c r="I20" s="1" t="s">
        <v>110</v>
      </c>
      <c r="J20" s="1"/>
    </row>
    <row r="21" spans="1:10" x14ac:dyDescent="0.3">
      <c r="A21" s="1" t="s">
        <v>114</v>
      </c>
      <c r="B21" s="1" t="s">
        <v>12</v>
      </c>
      <c r="C21" s="1" t="s">
        <v>115</v>
      </c>
      <c r="D21" s="1" t="s">
        <v>27</v>
      </c>
      <c r="E21" s="1" t="s">
        <v>54</v>
      </c>
      <c r="F21" s="1" t="s">
        <v>8</v>
      </c>
      <c r="G21" s="1" t="s">
        <v>87</v>
      </c>
      <c r="H21" s="1" t="s">
        <v>116</v>
      </c>
      <c r="I21" s="1" t="s">
        <v>110</v>
      </c>
      <c r="J21" s="1"/>
    </row>
    <row r="22" spans="1:10" ht="28.8" x14ac:dyDescent="0.3">
      <c r="A22" s="1" t="s">
        <v>117</v>
      </c>
      <c r="B22" s="1" t="s">
        <v>12</v>
      </c>
      <c r="C22" s="1" t="s">
        <v>118</v>
      </c>
      <c r="D22" s="1" t="s">
        <v>23</v>
      </c>
      <c r="E22" s="1" t="s">
        <v>49</v>
      </c>
      <c r="F22" s="1" t="s">
        <v>8</v>
      </c>
      <c r="G22" s="1" t="s">
        <v>102</v>
      </c>
      <c r="H22" s="1" t="s">
        <v>119</v>
      </c>
      <c r="I22" s="1" t="s">
        <v>34</v>
      </c>
      <c r="J22" s="1"/>
    </row>
    <row r="23" spans="1:10" x14ac:dyDescent="0.3">
      <c r="A23" s="1" t="s">
        <v>120</v>
      </c>
      <c r="B23" s="1" t="s">
        <v>12</v>
      </c>
      <c r="C23" s="1" t="s">
        <v>121</v>
      </c>
      <c r="D23" s="1" t="s">
        <v>29</v>
      </c>
      <c r="E23" s="1" t="s">
        <v>49</v>
      </c>
      <c r="F23" s="1" t="s">
        <v>8</v>
      </c>
      <c r="G23" s="1" t="s">
        <v>122</v>
      </c>
      <c r="H23" s="1" t="s">
        <v>123</v>
      </c>
      <c r="I23" s="1" t="s">
        <v>34</v>
      </c>
      <c r="J23" s="1"/>
    </row>
    <row r="24" spans="1:10" x14ac:dyDescent="0.3">
      <c r="A24" s="1" t="s">
        <v>124</v>
      </c>
      <c r="B24" s="1" t="s">
        <v>15</v>
      </c>
      <c r="C24" s="1" t="s">
        <v>125</v>
      </c>
      <c r="D24" s="1" t="s">
        <v>23</v>
      </c>
      <c r="E24" s="1" t="s">
        <v>126</v>
      </c>
      <c r="F24" s="1" t="s">
        <v>8</v>
      </c>
      <c r="G24" s="1" t="s">
        <v>127</v>
      </c>
      <c r="H24" s="1" t="s">
        <v>128</v>
      </c>
      <c r="I24" s="1" t="s">
        <v>34</v>
      </c>
      <c r="J24" s="1"/>
    </row>
    <row r="25" spans="1:10" x14ac:dyDescent="0.3">
      <c r="A25" s="1" t="s">
        <v>129</v>
      </c>
      <c r="B25" s="1" t="s">
        <v>15</v>
      </c>
      <c r="C25" s="1" t="s">
        <v>130</v>
      </c>
      <c r="D25" s="1" t="s">
        <v>23</v>
      </c>
      <c r="E25" s="1" t="s">
        <v>49</v>
      </c>
      <c r="F25" s="1" t="s">
        <v>8</v>
      </c>
      <c r="G25" s="1" t="s">
        <v>124</v>
      </c>
      <c r="H25" s="1" t="s">
        <v>131</v>
      </c>
      <c r="I25" s="1" t="s">
        <v>34</v>
      </c>
      <c r="J25" s="1"/>
    </row>
    <row r="26" spans="1:10" ht="28.8" x14ac:dyDescent="0.3">
      <c r="A26" s="1" t="s">
        <v>132</v>
      </c>
      <c r="B26" s="1" t="s">
        <v>15</v>
      </c>
      <c r="C26" s="1" t="s">
        <v>133</v>
      </c>
      <c r="D26" s="1" t="s">
        <v>25</v>
      </c>
      <c r="E26" s="1" t="s">
        <v>49</v>
      </c>
      <c r="F26" s="1" t="s">
        <v>8</v>
      </c>
      <c r="G26" s="1" t="s">
        <v>127</v>
      </c>
      <c r="H26" s="1" t="s">
        <v>134</v>
      </c>
      <c r="I26" s="1" t="s">
        <v>34</v>
      </c>
      <c r="J26" s="1"/>
    </row>
    <row r="27" spans="1:10" ht="28.8" x14ac:dyDescent="0.3">
      <c r="A27" s="1" t="s">
        <v>135</v>
      </c>
      <c r="B27" s="1" t="s">
        <v>15</v>
      </c>
      <c r="C27" s="1" t="s">
        <v>136</v>
      </c>
      <c r="D27" s="1" t="s">
        <v>89</v>
      </c>
      <c r="E27" s="1" t="s">
        <v>49</v>
      </c>
      <c r="F27" s="1" t="s">
        <v>8</v>
      </c>
      <c r="G27" s="1" t="s">
        <v>137</v>
      </c>
      <c r="H27" s="1" t="s">
        <v>138</v>
      </c>
      <c r="I27" s="1" t="s">
        <v>34</v>
      </c>
      <c r="J27" s="1"/>
    </row>
    <row r="28" spans="1:10" ht="28.8" x14ac:dyDescent="0.3">
      <c r="A28" s="1" t="s">
        <v>139</v>
      </c>
      <c r="B28" s="1" t="s">
        <v>15</v>
      </c>
      <c r="C28" s="1" t="s">
        <v>140</v>
      </c>
      <c r="D28" s="1" t="s">
        <v>89</v>
      </c>
      <c r="E28" s="1" t="s">
        <v>49</v>
      </c>
      <c r="F28" s="1" t="s">
        <v>8</v>
      </c>
      <c r="G28" s="1" t="s">
        <v>137</v>
      </c>
      <c r="H28" s="1" t="s">
        <v>141</v>
      </c>
      <c r="I28" s="1" t="s">
        <v>34</v>
      </c>
      <c r="J28" s="1"/>
    </row>
    <row r="29" spans="1:10" x14ac:dyDescent="0.3">
      <c r="A29" s="1" t="s">
        <v>142</v>
      </c>
      <c r="B29" s="1" t="s">
        <v>15</v>
      </c>
      <c r="C29" s="1" t="s">
        <v>143</v>
      </c>
      <c r="D29" s="1" t="s">
        <v>23</v>
      </c>
      <c r="E29" s="1" t="s">
        <v>49</v>
      </c>
      <c r="F29" s="1" t="s">
        <v>8</v>
      </c>
      <c r="G29" s="1" t="s">
        <v>139</v>
      </c>
      <c r="H29" s="1" t="s">
        <v>144</v>
      </c>
      <c r="I29" s="1" t="s">
        <v>34</v>
      </c>
      <c r="J29" s="1"/>
    </row>
    <row r="30" spans="1:10" ht="28.8" x14ac:dyDescent="0.3">
      <c r="A30" s="1" t="s">
        <v>145</v>
      </c>
      <c r="B30" s="1" t="s">
        <v>15</v>
      </c>
      <c r="C30" s="1" t="s">
        <v>146</v>
      </c>
      <c r="D30" s="1" t="s">
        <v>89</v>
      </c>
      <c r="E30" s="1" t="s">
        <v>49</v>
      </c>
      <c r="F30" s="1" t="s">
        <v>8</v>
      </c>
      <c r="G30" s="1" t="s">
        <v>147</v>
      </c>
      <c r="H30" s="1" t="s">
        <v>148</v>
      </c>
      <c r="I30" s="1" t="s">
        <v>34</v>
      </c>
      <c r="J30" s="1"/>
    </row>
    <row r="31" spans="1:10" x14ac:dyDescent="0.3">
      <c r="A31" s="1" t="s">
        <v>149</v>
      </c>
      <c r="B31" s="1" t="s">
        <v>15</v>
      </c>
      <c r="C31" s="1" t="s">
        <v>150</v>
      </c>
      <c r="D31" s="1" t="s">
        <v>23</v>
      </c>
      <c r="E31" s="1" t="s">
        <v>49</v>
      </c>
      <c r="F31" s="1" t="s">
        <v>8</v>
      </c>
      <c r="G31" s="1" t="s">
        <v>145</v>
      </c>
      <c r="H31" s="1" t="s">
        <v>151</v>
      </c>
      <c r="I31" s="1" t="s">
        <v>34</v>
      </c>
      <c r="J31" s="1"/>
    </row>
    <row r="32" spans="1:10" x14ac:dyDescent="0.3">
      <c r="A32" s="1" t="s">
        <v>152</v>
      </c>
      <c r="B32" s="1" t="s">
        <v>15</v>
      </c>
      <c r="C32" s="1" t="s">
        <v>153</v>
      </c>
      <c r="D32" s="1" t="s">
        <v>23</v>
      </c>
      <c r="E32" s="1" t="s">
        <v>126</v>
      </c>
      <c r="F32" s="1" t="s">
        <v>8</v>
      </c>
      <c r="G32" s="1" t="s">
        <v>154</v>
      </c>
      <c r="H32" s="1" t="s">
        <v>155</v>
      </c>
      <c r="I32" s="1" t="s">
        <v>34</v>
      </c>
      <c r="J32" s="1"/>
    </row>
    <row r="33" spans="1:10" x14ac:dyDescent="0.3">
      <c r="A33" s="1" t="s">
        <v>156</v>
      </c>
      <c r="B33" s="1" t="s">
        <v>15</v>
      </c>
      <c r="C33" s="1" t="s">
        <v>157</v>
      </c>
      <c r="D33" s="1" t="s">
        <v>27</v>
      </c>
      <c r="E33" s="1" t="s">
        <v>49</v>
      </c>
      <c r="F33" s="1" t="s">
        <v>8</v>
      </c>
      <c r="G33" s="1" t="s">
        <v>145</v>
      </c>
      <c r="H33" s="1" t="s">
        <v>158</v>
      </c>
      <c r="I33" s="1" t="s">
        <v>110</v>
      </c>
      <c r="J33" s="1"/>
    </row>
    <row r="34" spans="1:10" x14ac:dyDescent="0.3">
      <c r="A34" s="1" t="s">
        <v>159</v>
      </c>
      <c r="B34" s="1" t="s">
        <v>18</v>
      </c>
      <c r="C34" s="1" t="s">
        <v>160</v>
      </c>
      <c r="D34" s="1" t="s">
        <v>23</v>
      </c>
      <c r="E34" s="1" t="s">
        <v>49</v>
      </c>
      <c r="F34" s="1" t="s">
        <v>8</v>
      </c>
      <c r="G34" s="1" t="s">
        <v>161</v>
      </c>
      <c r="H34" s="1" t="s">
        <v>162</v>
      </c>
      <c r="I34" s="1" t="s">
        <v>34</v>
      </c>
      <c r="J34" s="1"/>
    </row>
    <row r="35" spans="1:10" ht="28.8" x14ac:dyDescent="0.3">
      <c r="A35" s="1" t="s">
        <v>163</v>
      </c>
      <c r="B35" s="1" t="s">
        <v>18</v>
      </c>
      <c r="C35" s="1" t="s">
        <v>164</v>
      </c>
      <c r="D35" s="1" t="s">
        <v>89</v>
      </c>
      <c r="E35" s="1" t="s">
        <v>49</v>
      </c>
      <c r="F35" s="1" t="s">
        <v>8</v>
      </c>
      <c r="G35" s="1" t="s">
        <v>159</v>
      </c>
      <c r="H35" s="1" t="s">
        <v>165</v>
      </c>
      <c r="I35" s="1" t="s">
        <v>34</v>
      </c>
      <c r="J35" s="1"/>
    </row>
    <row r="36" spans="1:10" ht="28.8" x14ac:dyDescent="0.3">
      <c r="A36" s="1" t="s">
        <v>166</v>
      </c>
      <c r="B36" s="1" t="s">
        <v>18</v>
      </c>
      <c r="C36" s="1" t="s">
        <v>167</v>
      </c>
      <c r="D36" s="1" t="s">
        <v>23</v>
      </c>
      <c r="E36" s="1" t="s">
        <v>49</v>
      </c>
      <c r="F36" s="1" t="s">
        <v>8</v>
      </c>
      <c r="G36" s="1" t="s">
        <v>163</v>
      </c>
      <c r="H36" s="1" t="s">
        <v>168</v>
      </c>
      <c r="I36" s="1" t="s">
        <v>110</v>
      </c>
      <c r="J36" s="1"/>
    </row>
    <row r="37" spans="1:10" ht="28.8" x14ac:dyDescent="0.3">
      <c r="A37" s="1" t="s">
        <v>169</v>
      </c>
      <c r="B37" s="1" t="s">
        <v>18</v>
      </c>
      <c r="C37" s="1" t="s">
        <v>170</v>
      </c>
      <c r="D37" s="1" t="s">
        <v>89</v>
      </c>
      <c r="E37" s="1" t="s">
        <v>49</v>
      </c>
      <c r="F37" s="1" t="s">
        <v>8</v>
      </c>
      <c r="G37" s="1" t="s">
        <v>161</v>
      </c>
      <c r="H37" s="1" t="s">
        <v>171</v>
      </c>
      <c r="I37" s="1" t="s">
        <v>110</v>
      </c>
      <c r="J37" s="1"/>
    </row>
    <row r="38" spans="1:10" x14ac:dyDescent="0.3">
      <c r="A38" s="1" t="s">
        <v>172</v>
      </c>
      <c r="B38" s="1" t="s">
        <v>18</v>
      </c>
      <c r="C38" s="1" t="s">
        <v>173</v>
      </c>
      <c r="D38" s="1" t="s">
        <v>27</v>
      </c>
      <c r="E38" s="1" t="s">
        <v>126</v>
      </c>
      <c r="F38" s="1" t="s">
        <v>8</v>
      </c>
      <c r="G38" s="1" t="s">
        <v>156</v>
      </c>
      <c r="H38" s="1" t="s">
        <v>174</v>
      </c>
      <c r="I38" s="1" t="s">
        <v>110</v>
      </c>
      <c r="J38" s="1" t="s">
        <v>175</v>
      </c>
    </row>
    <row r="39" spans="1:10" ht="28.8" x14ac:dyDescent="0.3">
      <c r="A39" s="1" t="s">
        <v>176</v>
      </c>
      <c r="B39" s="1" t="s">
        <v>18</v>
      </c>
      <c r="C39" s="1" t="s">
        <v>177</v>
      </c>
      <c r="D39" s="1" t="s">
        <v>27</v>
      </c>
      <c r="E39" s="1" t="s">
        <v>49</v>
      </c>
      <c r="F39" s="1" t="s">
        <v>8</v>
      </c>
      <c r="G39" s="1" t="s">
        <v>172</v>
      </c>
      <c r="H39" s="1" t="s">
        <v>178</v>
      </c>
      <c r="I39" s="1" t="s">
        <v>110</v>
      </c>
      <c r="J39" s="1"/>
    </row>
    <row r="40" spans="1:10" ht="28.8" x14ac:dyDescent="0.3">
      <c r="A40" s="1" t="s">
        <v>179</v>
      </c>
      <c r="B40" s="1" t="s">
        <v>18</v>
      </c>
      <c r="C40" s="1" t="s">
        <v>180</v>
      </c>
      <c r="D40" s="1" t="s">
        <v>25</v>
      </c>
      <c r="E40" s="1" t="s">
        <v>49</v>
      </c>
      <c r="F40" s="1" t="s">
        <v>8</v>
      </c>
      <c r="G40" s="1" t="s">
        <v>161</v>
      </c>
      <c r="H40" s="1" t="s">
        <v>181</v>
      </c>
      <c r="I40" s="1" t="s">
        <v>34</v>
      </c>
      <c r="J40" s="1"/>
    </row>
    <row r="41" spans="1:10" x14ac:dyDescent="0.3">
      <c r="A41" s="1" t="s">
        <v>182</v>
      </c>
      <c r="B41" s="1" t="s">
        <v>18</v>
      </c>
      <c r="C41" s="1" t="s">
        <v>183</v>
      </c>
      <c r="D41" s="1" t="s">
        <v>25</v>
      </c>
      <c r="E41" s="1" t="s">
        <v>49</v>
      </c>
      <c r="F41" s="1" t="s">
        <v>8</v>
      </c>
      <c r="G41" s="1" t="s">
        <v>161</v>
      </c>
      <c r="H41" s="1" t="s">
        <v>184</v>
      </c>
      <c r="I41" s="1" t="s">
        <v>34</v>
      </c>
      <c r="J41" s="1"/>
    </row>
    <row r="42" spans="1:10" x14ac:dyDescent="0.3">
      <c r="A42" s="1" t="s">
        <v>185</v>
      </c>
      <c r="B42" s="1" t="s">
        <v>18</v>
      </c>
      <c r="C42" s="1" t="s">
        <v>186</v>
      </c>
      <c r="D42" s="1" t="s">
        <v>27</v>
      </c>
      <c r="E42" s="1" t="s">
        <v>49</v>
      </c>
      <c r="F42" s="1" t="s">
        <v>8</v>
      </c>
      <c r="G42" s="1" t="s">
        <v>102</v>
      </c>
      <c r="H42" s="1" t="s">
        <v>187</v>
      </c>
      <c r="I42" s="1" t="s">
        <v>110</v>
      </c>
      <c r="J42" s="1"/>
    </row>
    <row r="43" spans="1:10" x14ac:dyDescent="0.3">
      <c r="A43" s="1" t="s">
        <v>188</v>
      </c>
      <c r="B43" s="1" t="s">
        <v>18</v>
      </c>
      <c r="C43" s="1" t="s">
        <v>189</v>
      </c>
      <c r="D43" s="1" t="s">
        <v>29</v>
      </c>
      <c r="E43" s="1" t="s">
        <v>126</v>
      </c>
      <c r="F43" s="1" t="s">
        <v>8</v>
      </c>
      <c r="G43" s="1" t="s">
        <v>190</v>
      </c>
      <c r="H43" s="1" t="s">
        <v>191</v>
      </c>
      <c r="I43" s="1" t="s">
        <v>34</v>
      </c>
      <c r="J43" s="1"/>
    </row>
  </sheetData>
  <conditionalFormatting sqref="F2:F43">
    <cfRule type="expression" dxfId="27" priority="1">
      <formula>NOT(ISERROR(SEARCH("Done",F2)))</formula>
    </cfRule>
    <cfRule type="expression" dxfId="26" priority="2">
      <formula>NOT(ISERROR(SEARCH("In Progress",F2)))</formula>
    </cfRule>
    <cfRule type="expression" dxfId="25" priority="3">
      <formula>NOT(ISERROR(SEARCH("Blocked",F2)))</formula>
    </cfRule>
    <cfRule type="expression" dxfId="24" priority="4">
      <formula>NOT(ISERROR(SEARCH("Cut",F2)))</formula>
    </cfRule>
  </conditionalFormatting>
  <dataValidations count="2">
    <dataValidation type="list" sqref="F2:F43" xr:uid="{00000000-0002-0000-0100-000000000000}">
      <formula1>"Not Started,In Progress,Blocked,Done,Cut"</formula1>
    </dataValidation>
    <dataValidation type="list" sqref="I2:I43" xr:uid="{00000000-0002-0000-0100-000001000000}">
      <formula1>"Must,Should,Stretch"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12" customWidth="1"/>
    <col min="3" max="3" width="42" customWidth="1"/>
    <col min="4" max="4" width="10" customWidth="1"/>
    <col min="5" max="5" width="8" customWidth="1"/>
    <col min="6" max="6" width="14" customWidth="1"/>
    <col min="7" max="7" width="18" customWidth="1"/>
    <col min="8" max="8" width="44" customWidth="1"/>
    <col min="9" max="9" width="11" customWidth="1"/>
    <col min="10" max="10" width="24" customWidth="1"/>
  </cols>
  <sheetData>
    <row r="1" spans="1:10" x14ac:dyDescent="0.3">
      <c r="A1" s="2" t="s">
        <v>41</v>
      </c>
      <c r="B1" s="2" t="s">
        <v>1</v>
      </c>
      <c r="C1" s="2" t="s">
        <v>42</v>
      </c>
      <c r="D1" s="2" t="s">
        <v>22</v>
      </c>
      <c r="E1" s="2" t="s">
        <v>43</v>
      </c>
      <c r="F1" s="2" t="s">
        <v>4</v>
      </c>
      <c r="G1" s="2" t="s">
        <v>44</v>
      </c>
      <c r="H1" s="2" t="s">
        <v>45</v>
      </c>
      <c r="I1" s="2" t="s">
        <v>32</v>
      </c>
      <c r="J1" s="2" t="s">
        <v>46</v>
      </c>
    </row>
    <row r="2" spans="1:10" ht="28.8" x14ac:dyDescent="0.3">
      <c r="A2" s="1" t="s">
        <v>47</v>
      </c>
      <c r="B2" s="1" t="s">
        <v>5</v>
      </c>
      <c r="C2" s="1" t="s">
        <v>48</v>
      </c>
      <c r="D2" s="1" t="s">
        <v>23</v>
      </c>
      <c r="E2" s="1" t="s">
        <v>49</v>
      </c>
      <c r="F2" s="1" t="s">
        <v>28</v>
      </c>
      <c r="G2" s="1" t="s">
        <v>50</v>
      </c>
      <c r="H2" s="1" t="s">
        <v>51</v>
      </c>
      <c r="I2" s="1" t="s">
        <v>34</v>
      </c>
      <c r="J2" s="1"/>
    </row>
    <row r="3" spans="1:10" ht="28.8" x14ac:dyDescent="0.3">
      <c r="A3" s="1" t="s">
        <v>52</v>
      </c>
      <c r="B3" s="1" t="s">
        <v>5</v>
      </c>
      <c r="C3" s="1" t="s">
        <v>53</v>
      </c>
      <c r="D3" s="1" t="s">
        <v>23</v>
      </c>
      <c r="E3" s="1" t="s">
        <v>54</v>
      </c>
      <c r="F3" s="1" t="s">
        <v>28</v>
      </c>
      <c r="G3" s="1" t="s">
        <v>47</v>
      </c>
      <c r="H3" s="1" t="s">
        <v>55</v>
      </c>
      <c r="I3" s="1" t="s">
        <v>34</v>
      </c>
      <c r="J3" s="1"/>
    </row>
    <row r="4" spans="1:10" ht="28.8" x14ac:dyDescent="0.3">
      <c r="A4" s="1" t="s">
        <v>56</v>
      </c>
      <c r="B4" s="1" t="s">
        <v>5</v>
      </c>
      <c r="C4" s="1" t="s">
        <v>57</v>
      </c>
      <c r="D4" s="1" t="s">
        <v>58</v>
      </c>
      <c r="E4" s="1" t="s">
        <v>49</v>
      </c>
      <c r="F4" s="1" t="s">
        <v>28</v>
      </c>
      <c r="G4" s="1" t="s">
        <v>47</v>
      </c>
      <c r="H4" s="1" t="s">
        <v>59</v>
      </c>
      <c r="I4" s="1" t="s">
        <v>34</v>
      </c>
      <c r="J4" s="1"/>
    </row>
    <row r="5" spans="1:10" x14ac:dyDescent="0.3">
      <c r="A5" s="1" t="s">
        <v>60</v>
      </c>
      <c r="B5" s="1" t="s">
        <v>5</v>
      </c>
      <c r="C5" s="1" t="s">
        <v>61</v>
      </c>
      <c r="D5" s="1" t="s">
        <v>27</v>
      </c>
      <c r="E5" s="1" t="s">
        <v>49</v>
      </c>
      <c r="F5" s="1" t="s">
        <v>28</v>
      </c>
      <c r="G5" s="1" t="s">
        <v>56</v>
      </c>
      <c r="H5" s="1" t="s">
        <v>62</v>
      </c>
      <c r="I5" s="1" t="s">
        <v>34</v>
      </c>
      <c r="J5" s="1"/>
    </row>
  </sheetData>
  <conditionalFormatting sqref="F2:F5">
    <cfRule type="expression" dxfId="23" priority="1">
      <formula>NOT(ISERROR(SEARCH("Done",F2)))</formula>
    </cfRule>
    <cfRule type="expression" dxfId="22" priority="2">
      <formula>NOT(ISERROR(SEARCH("In Progress",F2)))</formula>
    </cfRule>
    <cfRule type="expression" dxfId="21" priority="3">
      <formula>NOT(ISERROR(SEARCH("Blocked",F2)))</formula>
    </cfRule>
    <cfRule type="expression" dxfId="20" priority="4">
      <formula>NOT(ISERROR(SEARCH("Cut",F2)))</formula>
    </cfRule>
  </conditionalFormatting>
  <dataValidations count="2">
    <dataValidation type="list" sqref="F2:F5" xr:uid="{00000000-0002-0000-0200-000000000000}">
      <formula1>"Not Started,In Progress,Blocked,Done,Cut"</formula1>
    </dataValidation>
    <dataValidation type="list" sqref="I2:I5" xr:uid="{00000000-0002-0000-0200-000001000000}">
      <formula1>"Must,Should,Stretch"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2" customWidth="1"/>
    <col min="3" max="3" width="42" customWidth="1"/>
    <col min="4" max="4" width="10" customWidth="1"/>
    <col min="5" max="5" width="8" customWidth="1"/>
    <col min="6" max="6" width="14" customWidth="1"/>
    <col min="7" max="7" width="18" customWidth="1"/>
    <col min="8" max="8" width="44" customWidth="1"/>
    <col min="9" max="9" width="11" customWidth="1"/>
    <col min="10" max="10" width="24" customWidth="1"/>
  </cols>
  <sheetData>
    <row r="1" spans="1:10" x14ac:dyDescent="0.3">
      <c r="A1" s="2" t="s">
        <v>41</v>
      </c>
      <c r="B1" s="2" t="s">
        <v>1</v>
      </c>
      <c r="C1" s="2" t="s">
        <v>42</v>
      </c>
      <c r="D1" s="2" t="s">
        <v>22</v>
      </c>
      <c r="E1" s="2" t="s">
        <v>43</v>
      </c>
      <c r="F1" s="2" t="s">
        <v>4</v>
      </c>
      <c r="G1" s="2" t="s">
        <v>44</v>
      </c>
      <c r="H1" s="2" t="s">
        <v>45</v>
      </c>
      <c r="I1" s="2" t="s">
        <v>32</v>
      </c>
      <c r="J1" s="2" t="s">
        <v>46</v>
      </c>
    </row>
    <row r="2" spans="1:10" x14ac:dyDescent="0.3">
      <c r="A2" s="1" t="s">
        <v>63</v>
      </c>
      <c r="B2" s="1" t="s">
        <v>9</v>
      </c>
      <c r="C2" s="1" t="s">
        <v>64</v>
      </c>
      <c r="D2" s="1" t="s">
        <v>23</v>
      </c>
      <c r="E2" s="1" t="s">
        <v>49</v>
      </c>
      <c r="F2" s="1" t="s">
        <v>8</v>
      </c>
      <c r="G2" s="1" t="s">
        <v>65</v>
      </c>
      <c r="H2" s="1" t="s">
        <v>66</v>
      </c>
      <c r="I2" s="1" t="s">
        <v>34</v>
      </c>
      <c r="J2" s="1"/>
    </row>
    <row r="3" spans="1:10" x14ac:dyDescent="0.3">
      <c r="A3" s="1" t="s">
        <v>67</v>
      </c>
      <c r="B3" s="1" t="s">
        <v>9</v>
      </c>
      <c r="C3" s="1" t="s">
        <v>68</v>
      </c>
      <c r="D3" s="1" t="s">
        <v>27</v>
      </c>
      <c r="E3" s="1" t="s">
        <v>54</v>
      </c>
      <c r="F3" s="1" t="s">
        <v>8</v>
      </c>
      <c r="G3" s="1" t="s">
        <v>65</v>
      </c>
      <c r="H3" s="1" t="s">
        <v>69</v>
      </c>
      <c r="I3" s="1" t="s">
        <v>34</v>
      </c>
      <c r="J3" s="1"/>
    </row>
    <row r="4" spans="1:10" x14ac:dyDescent="0.3">
      <c r="A4" s="1" t="s">
        <v>70</v>
      </c>
      <c r="B4" s="1" t="s">
        <v>9</v>
      </c>
      <c r="C4" s="1" t="s">
        <v>71</v>
      </c>
      <c r="D4" s="1" t="s">
        <v>25</v>
      </c>
      <c r="E4" s="1" t="s">
        <v>49</v>
      </c>
      <c r="F4" s="1" t="s">
        <v>8</v>
      </c>
      <c r="G4" s="1" t="s">
        <v>72</v>
      </c>
      <c r="H4" s="1" t="s">
        <v>73</v>
      </c>
      <c r="I4" s="1" t="s">
        <v>34</v>
      </c>
      <c r="J4" s="1"/>
    </row>
    <row r="5" spans="1:10" x14ac:dyDescent="0.3">
      <c r="A5" s="1" t="s">
        <v>74</v>
      </c>
      <c r="B5" s="1" t="s">
        <v>9</v>
      </c>
      <c r="C5" s="1" t="s">
        <v>75</v>
      </c>
      <c r="D5" s="1" t="s">
        <v>27</v>
      </c>
      <c r="E5" s="1" t="s">
        <v>54</v>
      </c>
      <c r="F5" s="1" t="s">
        <v>8</v>
      </c>
      <c r="G5" s="1" t="s">
        <v>72</v>
      </c>
      <c r="H5" s="1" t="s">
        <v>76</v>
      </c>
      <c r="I5" s="1" t="s">
        <v>34</v>
      </c>
      <c r="J5" s="1"/>
    </row>
    <row r="6" spans="1:10" ht="28.8" x14ac:dyDescent="0.3">
      <c r="A6" s="1" t="s">
        <v>77</v>
      </c>
      <c r="B6" s="1" t="s">
        <v>9</v>
      </c>
      <c r="C6" s="1" t="s">
        <v>78</v>
      </c>
      <c r="D6" s="1" t="s">
        <v>23</v>
      </c>
      <c r="E6" s="1" t="s">
        <v>49</v>
      </c>
      <c r="F6" s="1" t="s">
        <v>8</v>
      </c>
      <c r="G6" s="1" t="s">
        <v>79</v>
      </c>
      <c r="H6" s="1" t="s">
        <v>80</v>
      </c>
      <c r="I6" s="1" t="s">
        <v>34</v>
      </c>
      <c r="J6" s="1"/>
    </row>
    <row r="7" spans="1:10" x14ac:dyDescent="0.3">
      <c r="A7" s="1" t="s">
        <v>81</v>
      </c>
      <c r="B7" s="1" t="s">
        <v>9</v>
      </c>
      <c r="C7" s="1" t="s">
        <v>82</v>
      </c>
      <c r="D7" s="1" t="s">
        <v>23</v>
      </c>
      <c r="E7" s="1" t="s">
        <v>49</v>
      </c>
      <c r="F7" s="1" t="s">
        <v>8</v>
      </c>
      <c r="G7" s="1" t="s">
        <v>77</v>
      </c>
      <c r="H7" s="1" t="s">
        <v>83</v>
      </c>
      <c r="I7" s="1" t="s">
        <v>34</v>
      </c>
      <c r="J7" s="1"/>
    </row>
    <row r="8" spans="1:10" ht="28.8" x14ac:dyDescent="0.3">
      <c r="A8" s="1" t="s">
        <v>84</v>
      </c>
      <c r="B8" s="1" t="s">
        <v>9</v>
      </c>
      <c r="C8" s="1" t="s">
        <v>85</v>
      </c>
      <c r="D8" s="1" t="s">
        <v>23</v>
      </c>
      <c r="E8" s="1" t="s">
        <v>49</v>
      </c>
      <c r="F8" s="1" t="s">
        <v>8</v>
      </c>
      <c r="G8" s="1" t="s">
        <v>81</v>
      </c>
      <c r="H8" s="1" t="s">
        <v>86</v>
      </c>
      <c r="I8" s="1" t="s">
        <v>34</v>
      </c>
      <c r="J8" s="1"/>
    </row>
    <row r="9" spans="1:10" ht="28.8" x14ac:dyDescent="0.3">
      <c r="A9" s="1" t="s">
        <v>87</v>
      </c>
      <c r="B9" s="1" t="s">
        <v>9</v>
      </c>
      <c r="C9" s="1" t="s">
        <v>88</v>
      </c>
      <c r="D9" s="1" t="s">
        <v>89</v>
      </c>
      <c r="E9" s="1" t="s">
        <v>49</v>
      </c>
      <c r="F9" s="1" t="s">
        <v>8</v>
      </c>
      <c r="G9" s="1" t="s">
        <v>84</v>
      </c>
      <c r="H9" s="1" t="s">
        <v>90</v>
      </c>
      <c r="I9" s="1" t="s">
        <v>34</v>
      </c>
      <c r="J9" s="1"/>
    </row>
    <row r="10" spans="1:10" x14ac:dyDescent="0.3">
      <c r="A10" s="1" t="s">
        <v>91</v>
      </c>
      <c r="B10" s="1" t="s">
        <v>9</v>
      </c>
      <c r="C10" s="1" t="s">
        <v>92</v>
      </c>
      <c r="D10" s="1" t="s">
        <v>25</v>
      </c>
      <c r="E10" s="1" t="s">
        <v>49</v>
      </c>
      <c r="F10" s="1" t="s">
        <v>8</v>
      </c>
      <c r="G10" s="1" t="s">
        <v>77</v>
      </c>
      <c r="H10" s="1" t="s">
        <v>93</v>
      </c>
      <c r="I10" s="1" t="s">
        <v>34</v>
      </c>
      <c r="J10" s="1"/>
    </row>
    <row r="11" spans="1:10" ht="28.8" x14ac:dyDescent="0.3">
      <c r="A11" s="1" t="s">
        <v>94</v>
      </c>
      <c r="B11" s="1" t="s">
        <v>9</v>
      </c>
      <c r="C11" s="1" t="s">
        <v>95</v>
      </c>
      <c r="D11" s="1" t="s">
        <v>25</v>
      </c>
      <c r="E11" s="1" t="s">
        <v>49</v>
      </c>
      <c r="F11" s="1" t="s">
        <v>8</v>
      </c>
      <c r="G11" s="1" t="s">
        <v>87</v>
      </c>
      <c r="H11" s="1" t="s">
        <v>96</v>
      </c>
      <c r="I11" s="1" t="s">
        <v>34</v>
      </c>
      <c r="J11" s="1"/>
    </row>
    <row r="12" spans="1:10" x14ac:dyDescent="0.3">
      <c r="A12" s="1" t="s">
        <v>97</v>
      </c>
      <c r="B12" s="1" t="s">
        <v>9</v>
      </c>
      <c r="C12" s="1" t="s">
        <v>98</v>
      </c>
      <c r="D12" s="1" t="s">
        <v>25</v>
      </c>
      <c r="E12" s="1" t="s">
        <v>54</v>
      </c>
      <c r="F12" s="1" t="s">
        <v>8</v>
      </c>
      <c r="G12" s="1" t="s">
        <v>87</v>
      </c>
      <c r="H12" s="1" t="s">
        <v>99</v>
      </c>
      <c r="I12" s="1" t="s">
        <v>34</v>
      </c>
      <c r="J12" s="1"/>
    </row>
  </sheetData>
  <conditionalFormatting sqref="F2:F12">
    <cfRule type="expression" dxfId="19" priority="1">
      <formula>NOT(ISERROR(SEARCH("Done",F2)))</formula>
    </cfRule>
    <cfRule type="expression" dxfId="18" priority="2">
      <formula>NOT(ISERROR(SEARCH("In Progress",F2)))</formula>
    </cfRule>
    <cfRule type="expression" dxfId="17" priority="3">
      <formula>NOT(ISERROR(SEARCH("Blocked",F2)))</formula>
    </cfRule>
    <cfRule type="expression" dxfId="16" priority="4">
      <formula>NOT(ISERROR(SEARCH("Cut",F2)))</formula>
    </cfRule>
  </conditionalFormatting>
  <dataValidations count="2">
    <dataValidation type="list" sqref="F2:F12" xr:uid="{00000000-0002-0000-0300-000000000000}">
      <formula1>"Not Started,In Progress,Blocked,Done,Cut"</formula1>
    </dataValidation>
    <dataValidation type="list" sqref="I2:I12" xr:uid="{00000000-0002-0000-0300-000001000000}">
      <formula1>"Must,Should,Stretch"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"/>
  <sheetViews>
    <sheetView workbookViewId="0">
      <pane ySplit="1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12" customWidth="1"/>
    <col min="3" max="3" width="42" customWidth="1"/>
    <col min="4" max="4" width="10" customWidth="1"/>
    <col min="5" max="5" width="8" customWidth="1"/>
    <col min="6" max="6" width="14" customWidth="1"/>
    <col min="7" max="7" width="18" customWidth="1"/>
    <col min="8" max="8" width="44" customWidth="1"/>
    <col min="9" max="9" width="11" customWidth="1"/>
    <col min="10" max="10" width="24" customWidth="1"/>
  </cols>
  <sheetData>
    <row r="1" spans="1:10" x14ac:dyDescent="0.3">
      <c r="A1" s="2" t="s">
        <v>41</v>
      </c>
      <c r="B1" s="2" t="s">
        <v>1</v>
      </c>
      <c r="C1" s="2" t="s">
        <v>42</v>
      </c>
      <c r="D1" s="2" t="s">
        <v>22</v>
      </c>
      <c r="E1" s="2" t="s">
        <v>43</v>
      </c>
      <c r="F1" s="2" t="s">
        <v>4</v>
      </c>
      <c r="G1" s="2" t="s">
        <v>44</v>
      </c>
      <c r="H1" s="2" t="s">
        <v>45</v>
      </c>
      <c r="I1" s="2" t="s">
        <v>32</v>
      </c>
      <c r="J1" s="2" t="s">
        <v>46</v>
      </c>
    </row>
    <row r="2" spans="1:10" x14ac:dyDescent="0.3">
      <c r="A2" s="1" t="s">
        <v>100</v>
      </c>
      <c r="B2" s="1" t="s">
        <v>12</v>
      </c>
      <c r="C2" s="1" t="s">
        <v>101</v>
      </c>
      <c r="D2" s="1" t="s">
        <v>27</v>
      </c>
      <c r="E2" s="1" t="s">
        <v>54</v>
      </c>
      <c r="F2" s="1" t="s">
        <v>8</v>
      </c>
      <c r="G2" s="1" t="s">
        <v>102</v>
      </c>
      <c r="H2" s="1" t="s">
        <v>103</v>
      </c>
      <c r="I2" s="1" t="s">
        <v>34</v>
      </c>
      <c r="J2" s="1"/>
    </row>
    <row r="3" spans="1:10" x14ac:dyDescent="0.3">
      <c r="A3" s="1" t="s">
        <v>104</v>
      </c>
      <c r="B3" s="1" t="s">
        <v>12</v>
      </c>
      <c r="C3" s="1" t="s">
        <v>105</v>
      </c>
      <c r="D3" s="1" t="s">
        <v>25</v>
      </c>
      <c r="E3" s="1" t="s">
        <v>54</v>
      </c>
      <c r="F3" s="1" t="s">
        <v>8</v>
      </c>
      <c r="G3" s="1" t="s">
        <v>97</v>
      </c>
      <c r="H3" s="1" t="s">
        <v>106</v>
      </c>
      <c r="I3" s="1" t="s">
        <v>34</v>
      </c>
      <c r="J3" s="1"/>
    </row>
    <row r="4" spans="1:10" x14ac:dyDescent="0.3">
      <c r="A4" s="1" t="s">
        <v>107</v>
      </c>
      <c r="B4" s="1" t="s">
        <v>12</v>
      </c>
      <c r="C4" s="1" t="s">
        <v>108</v>
      </c>
      <c r="D4" s="1" t="s">
        <v>25</v>
      </c>
      <c r="E4" s="1" t="s">
        <v>54</v>
      </c>
      <c r="F4" s="1" t="s">
        <v>8</v>
      </c>
      <c r="G4" s="1" t="s">
        <v>77</v>
      </c>
      <c r="H4" s="1" t="s">
        <v>109</v>
      </c>
      <c r="I4" s="1" t="s">
        <v>110</v>
      </c>
      <c r="J4" s="1"/>
    </row>
    <row r="5" spans="1:10" x14ac:dyDescent="0.3">
      <c r="A5" s="1" t="s">
        <v>111</v>
      </c>
      <c r="B5" s="1" t="s">
        <v>12</v>
      </c>
      <c r="C5" s="1" t="s">
        <v>112</v>
      </c>
      <c r="D5" s="1" t="s">
        <v>23</v>
      </c>
      <c r="E5" s="1" t="s">
        <v>54</v>
      </c>
      <c r="F5" s="1" t="s">
        <v>8</v>
      </c>
      <c r="G5" s="1" t="s">
        <v>87</v>
      </c>
      <c r="H5" s="1" t="s">
        <v>113</v>
      </c>
      <c r="I5" s="1" t="s">
        <v>110</v>
      </c>
      <c r="J5" s="1"/>
    </row>
    <row r="6" spans="1:10" x14ac:dyDescent="0.3">
      <c r="A6" s="1" t="s">
        <v>114</v>
      </c>
      <c r="B6" s="1" t="s">
        <v>12</v>
      </c>
      <c r="C6" s="1" t="s">
        <v>115</v>
      </c>
      <c r="D6" s="1" t="s">
        <v>27</v>
      </c>
      <c r="E6" s="1" t="s">
        <v>54</v>
      </c>
      <c r="F6" s="1" t="s">
        <v>8</v>
      </c>
      <c r="G6" s="1" t="s">
        <v>87</v>
      </c>
      <c r="H6" s="1" t="s">
        <v>116</v>
      </c>
      <c r="I6" s="1" t="s">
        <v>110</v>
      </c>
      <c r="J6" s="1"/>
    </row>
    <row r="7" spans="1:10" ht="28.8" x14ac:dyDescent="0.3">
      <c r="A7" s="1" t="s">
        <v>117</v>
      </c>
      <c r="B7" s="1" t="s">
        <v>12</v>
      </c>
      <c r="C7" s="1" t="s">
        <v>118</v>
      </c>
      <c r="D7" s="1" t="s">
        <v>23</v>
      </c>
      <c r="E7" s="1" t="s">
        <v>49</v>
      </c>
      <c r="F7" s="1" t="s">
        <v>8</v>
      </c>
      <c r="G7" s="1" t="s">
        <v>102</v>
      </c>
      <c r="H7" s="1" t="s">
        <v>119</v>
      </c>
      <c r="I7" s="1" t="s">
        <v>34</v>
      </c>
      <c r="J7" s="1"/>
    </row>
    <row r="8" spans="1:10" x14ac:dyDescent="0.3">
      <c r="A8" s="1" t="s">
        <v>120</v>
      </c>
      <c r="B8" s="1" t="s">
        <v>12</v>
      </c>
      <c r="C8" s="1" t="s">
        <v>121</v>
      </c>
      <c r="D8" s="1" t="s">
        <v>29</v>
      </c>
      <c r="E8" s="1" t="s">
        <v>49</v>
      </c>
      <c r="F8" s="1" t="s">
        <v>8</v>
      </c>
      <c r="G8" s="1" t="s">
        <v>122</v>
      </c>
      <c r="H8" s="1" t="s">
        <v>123</v>
      </c>
      <c r="I8" s="1" t="s">
        <v>34</v>
      </c>
      <c r="J8" s="1"/>
    </row>
  </sheetData>
  <conditionalFormatting sqref="F2:F8">
    <cfRule type="expression" dxfId="15" priority="1">
      <formula>NOT(ISERROR(SEARCH("Done",F2)))</formula>
    </cfRule>
    <cfRule type="expression" dxfId="14" priority="2">
      <formula>NOT(ISERROR(SEARCH("In Progress",F2)))</formula>
    </cfRule>
    <cfRule type="expression" dxfId="13" priority="3">
      <formula>NOT(ISERROR(SEARCH("Blocked",F2)))</formula>
    </cfRule>
    <cfRule type="expression" dxfId="12" priority="4">
      <formula>NOT(ISERROR(SEARCH("Cut",F2)))</formula>
    </cfRule>
  </conditionalFormatting>
  <dataValidations count="2">
    <dataValidation type="list" sqref="F2:F8" xr:uid="{00000000-0002-0000-0400-000000000000}">
      <formula1>"Not Started,In Progress,Blocked,Done,Cut"</formula1>
    </dataValidation>
    <dataValidation type="list" sqref="I2:I8" xr:uid="{00000000-0002-0000-0400-000001000000}">
      <formula1>"Must,Should,Stretch"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2" customWidth="1"/>
    <col min="3" max="3" width="42" customWidth="1"/>
    <col min="4" max="4" width="10" customWidth="1"/>
    <col min="5" max="5" width="8" customWidth="1"/>
    <col min="6" max="6" width="14" customWidth="1"/>
    <col min="7" max="7" width="18" customWidth="1"/>
    <col min="8" max="8" width="44" customWidth="1"/>
    <col min="9" max="9" width="11" customWidth="1"/>
    <col min="10" max="10" width="24" customWidth="1"/>
  </cols>
  <sheetData>
    <row r="1" spans="1:10" x14ac:dyDescent="0.3">
      <c r="A1" s="2" t="s">
        <v>41</v>
      </c>
      <c r="B1" s="2" t="s">
        <v>1</v>
      </c>
      <c r="C1" s="2" t="s">
        <v>42</v>
      </c>
      <c r="D1" s="2" t="s">
        <v>22</v>
      </c>
      <c r="E1" s="2" t="s">
        <v>43</v>
      </c>
      <c r="F1" s="2" t="s">
        <v>4</v>
      </c>
      <c r="G1" s="2" t="s">
        <v>44</v>
      </c>
      <c r="H1" s="2" t="s">
        <v>45</v>
      </c>
      <c r="I1" s="2" t="s">
        <v>32</v>
      </c>
      <c r="J1" s="2" t="s">
        <v>46</v>
      </c>
    </row>
    <row r="2" spans="1:10" x14ac:dyDescent="0.3">
      <c r="A2" s="1" t="s">
        <v>124</v>
      </c>
      <c r="B2" s="1" t="s">
        <v>15</v>
      </c>
      <c r="C2" s="1" t="s">
        <v>125</v>
      </c>
      <c r="D2" s="1" t="s">
        <v>23</v>
      </c>
      <c r="E2" s="1" t="s">
        <v>126</v>
      </c>
      <c r="F2" s="1" t="s">
        <v>8</v>
      </c>
      <c r="G2" s="1" t="s">
        <v>127</v>
      </c>
      <c r="H2" s="1" t="s">
        <v>128</v>
      </c>
      <c r="I2" s="1" t="s">
        <v>34</v>
      </c>
      <c r="J2" s="1"/>
    </row>
    <row r="3" spans="1:10" x14ac:dyDescent="0.3">
      <c r="A3" s="1" t="s">
        <v>129</v>
      </c>
      <c r="B3" s="1" t="s">
        <v>15</v>
      </c>
      <c r="C3" s="1" t="s">
        <v>130</v>
      </c>
      <c r="D3" s="1" t="s">
        <v>23</v>
      </c>
      <c r="E3" s="1" t="s">
        <v>49</v>
      </c>
      <c r="F3" s="1" t="s">
        <v>8</v>
      </c>
      <c r="G3" s="1" t="s">
        <v>124</v>
      </c>
      <c r="H3" s="1" t="s">
        <v>131</v>
      </c>
      <c r="I3" s="1" t="s">
        <v>34</v>
      </c>
      <c r="J3" s="1"/>
    </row>
    <row r="4" spans="1:10" ht="28.8" x14ac:dyDescent="0.3">
      <c r="A4" s="1" t="s">
        <v>132</v>
      </c>
      <c r="B4" s="1" t="s">
        <v>15</v>
      </c>
      <c r="C4" s="1" t="s">
        <v>133</v>
      </c>
      <c r="D4" s="1" t="s">
        <v>25</v>
      </c>
      <c r="E4" s="1" t="s">
        <v>49</v>
      </c>
      <c r="F4" s="1" t="s">
        <v>8</v>
      </c>
      <c r="G4" s="1" t="s">
        <v>127</v>
      </c>
      <c r="H4" s="1" t="s">
        <v>134</v>
      </c>
      <c r="I4" s="1" t="s">
        <v>34</v>
      </c>
      <c r="J4" s="1"/>
    </row>
    <row r="5" spans="1:10" ht="28.8" x14ac:dyDescent="0.3">
      <c r="A5" s="1" t="s">
        <v>135</v>
      </c>
      <c r="B5" s="1" t="s">
        <v>15</v>
      </c>
      <c r="C5" s="1" t="s">
        <v>136</v>
      </c>
      <c r="D5" s="1" t="s">
        <v>89</v>
      </c>
      <c r="E5" s="1" t="s">
        <v>49</v>
      </c>
      <c r="F5" s="1" t="s">
        <v>8</v>
      </c>
      <c r="G5" s="1" t="s">
        <v>137</v>
      </c>
      <c r="H5" s="1" t="s">
        <v>138</v>
      </c>
      <c r="I5" s="1" t="s">
        <v>34</v>
      </c>
      <c r="J5" s="1"/>
    </row>
    <row r="6" spans="1:10" ht="28.8" x14ac:dyDescent="0.3">
      <c r="A6" s="1" t="s">
        <v>139</v>
      </c>
      <c r="B6" s="1" t="s">
        <v>15</v>
      </c>
      <c r="C6" s="1" t="s">
        <v>140</v>
      </c>
      <c r="D6" s="1" t="s">
        <v>89</v>
      </c>
      <c r="E6" s="1" t="s">
        <v>49</v>
      </c>
      <c r="F6" s="1" t="s">
        <v>8</v>
      </c>
      <c r="G6" s="1" t="s">
        <v>137</v>
      </c>
      <c r="H6" s="1" t="s">
        <v>141</v>
      </c>
      <c r="I6" s="1" t="s">
        <v>34</v>
      </c>
      <c r="J6" s="1"/>
    </row>
    <row r="7" spans="1:10" x14ac:dyDescent="0.3">
      <c r="A7" s="1" t="s">
        <v>142</v>
      </c>
      <c r="B7" s="1" t="s">
        <v>15</v>
      </c>
      <c r="C7" s="1" t="s">
        <v>143</v>
      </c>
      <c r="D7" s="1" t="s">
        <v>23</v>
      </c>
      <c r="E7" s="1" t="s">
        <v>49</v>
      </c>
      <c r="F7" s="1" t="s">
        <v>8</v>
      </c>
      <c r="G7" s="1" t="s">
        <v>139</v>
      </c>
      <c r="H7" s="1" t="s">
        <v>144</v>
      </c>
      <c r="I7" s="1" t="s">
        <v>34</v>
      </c>
      <c r="J7" s="1"/>
    </row>
    <row r="8" spans="1:10" ht="28.8" x14ac:dyDescent="0.3">
      <c r="A8" s="1" t="s">
        <v>145</v>
      </c>
      <c r="B8" s="1" t="s">
        <v>15</v>
      </c>
      <c r="C8" s="1" t="s">
        <v>146</v>
      </c>
      <c r="D8" s="1" t="s">
        <v>89</v>
      </c>
      <c r="E8" s="1" t="s">
        <v>49</v>
      </c>
      <c r="F8" s="1" t="s">
        <v>8</v>
      </c>
      <c r="G8" s="1" t="s">
        <v>147</v>
      </c>
      <c r="H8" s="1" t="s">
        <v>148</v>
      </c>
      <c r="I8" s="1" t="s">
        <v>34</v>
      </c>
      <c r="J8" s="1"/>
    </row>
    <row r="9" spans="1:10" x14ac:dyDescent="0.3">
      <c r="A9" s="1" t="s">
        <v>149</v>
      </c>
      <c r="B9" s="1" t="s">
        <v>15</v>
      </c>
      <c r="C9" s="1" t="s">
        <v>150</v>
      </c>
      <c r="D9" s="1" t="s">
        <v>23</v>
      </c>
      <c r="E9" s="1" t="s">
        <v>49</v>
      </c>
      <c r="F9" s="1" t="s">
        <v>8</v>
      </c>
      <c r="G9" s="1" t="s">
        <v>145</v>
      </c>
      <c r="H9" s="1" t="s">
        <v>151</v>
      </c>
      <c r="I9" s="1" t="s">
        <v>34</v>
      </c>
      <c r="J9" s="1"/>
    </row>
    <row r="10" spans="1:10" x14ac:dyDescent="0.3">
      <c r="A10" s="1" t="s">
        <v>152</v>
      </c>
      <c r="B10" s="1" t="s">
        <v>15</v>
      </c>
      <c r="C10" s="1" t="s">
        <v>153</v>
      </c>
      <c r="D10" s="1" t="s">
        <v>23</v>
      </c>
      <c r="E10" s="1" t="s">
        <v>126</v>
      </c>
      <c r="F10" s="1" t="s">
        <v>8</v>
      </c>
      <c r="G10" s="1" t="s">
        <v>154</v>
      </c>
      <c r="H10" s="1" t="s">
        <v>155</v>
      </c>
      <c r="I10" s="1" t="s">
        <v>34</v>
      </c>
      <c r="J10" s="1"/>
    </row>
    <row r="11" spans="1:10" x14ac:dyDescent="0.3">
      <c r="A11" s="1" t="s">
        <v>156</v>
      </c>
      <c r="B11" s="1" t="s">
        <v>15</v>
      </c>
      <c r="C11" s="1" t="s">
        <v>157</v>
      </c>
      <c r="D11" s="1" t="s">
        <v>27</v>
      </c>
      <c r="E11" s="1" t="s">
        <v>49</v>
      </c>
      <c r="F11" s="1" t="s">
        <v>8</v>
      </c>
      <c r="G11" s="1" t="s">
        <v>145</v>
      </c>
      <c r="H11" s="1" t="s">
        <v>158</v>
      </c>
      <c r="I11" s="1" t="s">
        <v>110</v>
      </c>
      <c r="J11" s="1"/>
    </row>
  </sheetData>
  <conditionalFormatting sqref="F2:F11">
    <cfRule type="expression" dxfId="11" priority="1">
      <formula>NOT(ISERROR(SEARCH("Done",F2)))</formula>
    </cfRule>
    <cfRule type="expression" dxfId="10" priority="2">
      <formula>NOT(ISERROR(SEARCH("In Progress",F2)))</formula>
    </cfRule>
    <cfRule type="expression" dxfId="9" priority="3">
      <formula>NOT(ISERROR(SEARCH("Blocked",F2)))</formula>
    </cfRule>
    <cfRule type="expression" dxfId="8" priority="4">
      <formula>NOT(ISERROR(SEARCH("Cut",F2)))</formula>
    </cfRule>
  </conditionalFormatting>
  <dataValidations count="2">
    <dataValidation type="list" sqref="F2:F11" xr:uid="{00000000-0002-0000-0500-000000000000}">
      <formula1>"Not Started,In Progress,Blocked,Done,Cut"</formula1>
    </dataValidation>
    <dataValidation type="list" sqref="I2:I11" xr:uid="{00000000-0002-0000-0500-000001000000}">
      <formula1>"Must,Should,Stretch"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2" customWidth="1"/>
    <col min="3" max="3" width="42" customWidth="1"/>
    <col min="4" max="4" width="10" customWidth="1"/>
    <col min="5" max="5" width="8" customWidth="1"/>
    <col min="6" max="6" width="14" customWidth="1"/>
    <col min="7" max="7" width="18" customWidth="1"/>
    <col min="8" max="8" width="44" customWidth="1"/>
    <col min="9" max="9" width="11" customWidth="1"/>
    <col min="10" max="10" width="24" customWidth="1"/>
  </cols>
  <sheetData>
    <row r="1" spans="1:10" x14ac:dyDescent="0.3">
      <c r="A1" s="2" t="s">
        <v>41</v>
      </c>
      <c r="B1" s="2" t="s">
        <v>1</v>
      </c>
      <c r="C1" s="2" t="s">
        <v>42</v>
      </c>
      <c r="D1" s="2" t="s">
        <v>22</v>
      </c>
      <c r="E1" s="2" t="s">
        <v>43</v>
      </c>
      <c r="F1" s="2" t="s">
        <v>4</v>
      </c>
      <c r="G1" s="2" t="s">
        <v>44</v>
      </c>
      <c r="H1" s="2" t="s">
        <v>45</v>
      </c>
      <c r="I1" s="2" t="s">
        <v>32</v>
      </c>
      <c r="J1" s="2" t="s">
        <v>46</v>
      </c>
    </row>
    <row r="2" spans="1:10" x14ac:dyDescent="0.3">
      <c r="A2" s="1" t="s">
        <v>159</v>
      </c>
      <c r="B2" s="1" t="s">
        <v>18</v>
      </c>
      <c r="C2" s="1" t="s">
        <v>160</v>
      </c>
      <c r="D2" s="1" t="s">
        <v>23</v>
      </c>
      <c r="E2" s="1" t="s">
        <v>49</v>
      </c>
      <c r="F2" s="1" t="s">
        <v>8</v>
      </c>
      <c r="G2" s="1" t="s">
        <v>161</v>
      </c>
      <c r="H2" s="1" t="s">
        <v>162</v>
      </c>
      <c r="I2" s="1" t="s">
        <v>34</v>
      </c>
      <c r="J2" s="1"/>
    </row>
    <row r="3" spans="1:10" ht="28.8" x14ac:dyDescent="0.3">
      <c r="A3" s="1" t="s">
        <v>163</v>
      </c>
      <c r="B3" s="1" t="s">
        <v>18</v>
      </c>
      <c r="C3" s="1" t="s">
        <v>164</v>
      </c>
      <c r="D3" s="1" t="s">
        <v>89</v>
      </c>
      <c r="E3" s="1" t="s">
        <v>49</v>
      </c>
      <c r="F3" s="1" t="s">
        <v>8</v>
      </c>
      <c r="G3" s="1" t="s">
        <v>159</v>
      </c>
      <c r="H3" s="1" t="s">
        <v>165</v>
      </c>
      <c r="I3" s="1" t="s">
        <v>34</v>
      </c>
      <c r="J3" s="1"/>
    </row>
    <row r="4" spans="1:10" ht="28.8" x14ac:dyDescent="0.3">
      <c r="A4" s="1" t="s">
        <v>166</v>
      </c>
      <c r="B4" s="1" t="s">
        <v>18</v>
      </c>
      <c r="C4" s="1" t="s">
        <v>167</v>
      </c>
      <c r="D4" s="1" t="s">
        <v>23</v>
      </c>
      <c r="E4" s="1" t="s">
        <v>49</v>
      </c>
      <c r="F4" s="1" t="s">
        <v>8</v>
      </c>
      <c r="G4" s="1" t="s">
        <v>163</v>
      </c>
      <c r="H4" s="1" t="s">
        <v>168</v>
      </c>
      <c r="I4" s="1" t="s">
        <v>110</v>
      </c>
      <c r="J4" s="1"/>
    </row>
    <row r="5" spans="1:10" ht="28.8" x14ac:dyDescent="0.3">
      <c r="A5" s="1" t="s">
        <v>169</v>
      </c>
      <c r="B5" s="1" t="s">
        <v>18</v>
      </c>
      <c r="C5" s="1" t="s">
        <v>170</v>
      </c>
      <c r="D5" s="1" t="s">
        <v>89</v>
      </c>
      <c r="E5" s="1" t="s">
        <v>49</v>
      </c>
      <c r="F5" s="1" t="s">
        <v>8</v>
      </c>
      <c r="G5" s="1" t="s">
        <v>161</v>
      </c>
      <c r="H5" s="1" t="s">
        <v>171</v>
      </c>
      <c r="I5" s="1" t="s">
        <v>110</v>
      </c>
      <c r="J5" s="1"/>
    </row>
    <row r="6" spans="1:10" x14ac:dyDescent="0.3">
      <c r="A6" s="1" t="s">
        <v>172</v>
      </c>
      <c r="B6" s="1" t="s">
        <v>18</v>
      </c>
      <c r="C6" s="1" t="s">
        <v>173</v>
      </c>
      <c r="D6" s="1" t="s">
        <v>27</v>
      </c>
      <c r="E6" s="1" t="s">
        <v>126</v>
      </c>
      <c r="F6" s="1" t="s">
        <v>8</v>
      </c>
      <c r="G6" s="1" t="s">
        <v>156</v>
      </c>
      <c r="H6" s="1" t="s">
        <v>174</v>
      </c>
      <c r="I6" s="1" t="s">
        <v>110</v>
      </c>
      <c r="J6" s="1" t="s">
        <v>175</v>
      </c>
    </row>
    <row r="7" spans="1:10" ht="28.8" x14ac:dyDescent="0.3">
      <c r="A7" s="1" t="s">
        <v>176</v>
      </c>
      <c r="B7" s="1" t="s">
        <v>18</v>
      </c>
      <c r="C7" s="1" t="s">
        <v>177</v>
      </c>
      <c r="D7" s="1" t="s">
        <v>27</v>
      </c>
      <c r="E7" s="1" t="s">
        <v>49</v>
      </c>
      <c r="F7" s="1" t="s">
        <v>8</v>
      </c>
      <c r="G7" s="1" t="s">
        <v>172</v>
      </c>
      <c r="H7" s="1" t="s">
        <v>178</v>
      </c>
      <c r="I7" s="1" t="s">
        <v>110</v>
      </c>
      <c r="J7" s="1"/>
    </row>
    <row r="8" spans="1:10" ht="28.8" x14ac:dyDescent="0.3">
      <c r="A8" s="1" t="s">
        <v>179</v>
      </c>
      <c r="B8" s="1" t="s">
        <v>18</v>
      </c>
      <c r="C8" s="1" t="s">
        <v>180</v>
      </c>
      <c r="D8" s="1" t="s">
        <v>25</v>
      </c>
      <c r="E8" s="1" t="s">
        <v>49</v>
      </c>
      <c r="F8" s="1" t="s">
        <v>8</v>
      </c>
      <c r="G8" s="1" t="s">
        <v>161</v>
      </c>
      <c r="H8" s="1" t="s">
        <v>181</v>
      </c>
      <c r="I8" s="1" t="s">
        <v>34</v>
      </c>
      <c r="J8" s="1"/>
    </row>
    <row r="9" spans="1:10" x14ac:dyDescent="0.3">
      <c r="A9" s="1" t="s">
        <v>182</v>
      </c>
      <c r="B9" s="1" t="s">
        <v>18</v>
      </c>
      <c r="C9" s="1" t="s">
        <v>183</v>
      </c>
      <c r="D9" s="1" t="s">
        <v>25</v>
      </c>
      <c r="E9" s="1" t="s">
        <v>49</v>
      </c>
      <c r="F9" s="1" t="s">
        <v>8</v>
      </c>
      <c r="G9" s="1" t="s">
        <v>161</v>
      </c>
      <c r="H9" s="1" t="s">
        <v>184</v>
      </c>
      <c r="I9" s="1" t="s">
        <v>34</v>
      </c>
      <c r="J9" s="1"/>
    </row>
    <row r="10" spans="1:10" x14ac:dyDescent="0.3">
      <c r="A10" s="1" t="s">
        <v>185</v>
      </c>
      <c r="B10" s="1" t="s">
        <v>18</v>
      </c>
      <c r="C10" s="1" t="s">
        <v>186</v>
      </c>
      <c r="D10" s="1" t="s">
        <v>27</v>
      </c>
      <c r="E10" s="1" t="s">
        <v>49</v>
      </c>
      <c r="F10" s="1" t="s">
        <v>8</v>
      </c>
      <c r="G10" s="1" t="s">
        <v>102</v>
      </c>
      <c r="H10" s="1" t="s">
        <v>187</v>
      </c>
      <c r="I10" s="1" t="s">
        <v>110</v>
      </c>
      <c r="J10" s="1"/>
    </row>
    <row r="11" spans="1:10" x14ac:dyDescent="0.3">
      <c r="A11" s="1" t="s">
        <v>188</v>
      </c>
      <c r="B11" s="1" t="s">
        <v>18</v>
      </c>
      <c r="C11" s="1" t="s">
        <v>189</v>
      </c>
      <c r="D11" s="1" t="s">
        <v>29</v>
      </c>
      <c r="E11" s="1" t="s">
        <v>126</v>
      </c>
      <c r="F11" s="1" t="s">
        <v>8</v>
      </c>
      <c r="G11" s="1" t="s">
        <v>190</v>
      </c>
      <c r="H11" s="1" t="s">
        <v>191</v>
      </c>
      <c r="I11" s="1" t="s">
        <v>34</v>
      </c>
      <c r="J11" s="1"/>
    </row>
  </sheetData>
  <conditionalFormatting sqref="F2:F11">
    <cfRule type="expression" dxfId="7" priority="1">
      <formula>NOT(ISERROR(SEARCH("Done",F2)))</formula>
    </cfRule>
    <cfRule type="expression" dxfId="6" priority="2">
      <formula>NOT(ISERROR(SEARCH("In Progress",F2)))</formula>
    </cfRule>
    <cfRule type="expression" dxfId="5" priority="3">
      <formula>NOT(ISERROR(SEARCH("Blocked",F2)))</formula>
    </cfRule>
    <cfRule type="expression" dxfId="4" priority="4">
      <formula>NOT(ISERROR(SEARCH("Cut",F2)))</formula>
    </cfRule>
  </conditionalFormatting>
  <dataValidations count="2">
    <dataValidation type="list" sqref="F2:F11" xr:uid="{00000000-0002-0000-0600-000000000000}">
      <formula1>"Not Started,In Progress,Blocked,Done,Cut"</formula1>
    </dataValidation>
    <dataValidation type="list" sqref="I2:I11" xr:uid="{00000000-0002-0000-0600-000001000000}">
      <formula1>"Must,Should,Stretch"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70" customWidth="1"/>
    <col min="3" max="3" width="16" customWidth="1"/>
    <col min="4" max="4" width="14" customWidth="1"/>
  </cols>
  <sheetData>
    <row r="1" spans="1:4" x14ac:dyDescent="0.3">
      <c r="A1" s="4" t="s">
        <v>41</v>
      </c>
      <c r="B1" s="4" t="s">
        <v>192</v>
      </c>
      <c r="C1" s="4" t="s">
        <v>193</v>
      </c>
      <c r="D1" s="4" t="s">
        <v>4</v>
      </c>
    </row>
    <row r="2" spans="1:4" x14ac:dyDescent="0.3">
      <c r="A2" s="1" t="s">
        <v>194</v>
      </c>
      <c r="B2" s="1" t="s">
        <v>195</v>
      </c>
      <c r="C2" s="1" t="s">
        <v>9</v>
      </c>
      <c r="D2" s="1" t="s">
        <v>196</v>
      </c>
    </row>
    <row r="3" spans="1:4" x14ac:dyDescent="0.3">
      <c r="A3" s="1" t="s">
        <v>197</v>
      </c>
      <c r="B3" s="1" t="s">
        <v>198</v>
      </c>
      <c r="C3" s="1" t="s">
        <v>15</v>
      </c>
      <c r="D3" s="1" t="s">
        <v>196</v>
      </c>
    </row>
    <row r="4" spans="1:4" x14ac:dyDescent="0.3">
      <c r="A4" s="1" t="s">
        <v>199</v>
      </c>
      <c r="B4" s="1" t="s">
        <v>200</v>
      </c>
      <c r="C4" s="1" t="s">
        <v>18</v>
      </c>
      <c r="D4" s="1" t="s">
        <v>196</v>
      </c>
    </row>
    <row r="5" spans="1:4" x14ac:dyDescent="0.3">
      <c r="A5" s="1" t="s">
        <v>201</v>
      </c>
      <c r="B5" s="1" t="s">
        <v>202</v>
      </c>
      <c r="C5" s="1" t="s">
        <v>15</v>
      </c>
      <c r="D5" s="1" t="s">
        <v>196</v>
      </c>
    </row>
    <row r="6" spans="1:4" x14ac:dyDescent="0.3">
      <c r="A6" s="1" t="s">
        <v>203</v>
      </c>
      <c r="B6" s="1" t="s">
        <v>204</v>
      </c>
      <c r="C6" s="1" t="s">
        <v>18</v>
      </c>
      <c r="D6" s="1" t="s">
        <v>196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30" customWidth="1"/>
    <col min="3" max="3" width="58" customWidth="1"/>
    <col min="4" max="4" width="14" customWidth="1"/>
    <col min="5" max="5" width="16" customWidth="1"/>
  </cols>
  <sheetData>
    <row r="1" spans="1:5" x14ac:dyDescent="0.3">
      <c r="A1" s="4" t="s">
        <v>41</v>
      </c>
      <c r="B1" s="4" t="s">
        <v>205</v>
      </c>
      <c r="C1" s="4" t="s">
        <v>206</v>
      </c>
      <c r="D1" s="4" t="s">
        <v>32</v>
      </c>
      <c r="E1" s="4" t="s">
        <v>207</v>
      </c>
    </row>
    <row r="2" spans="1:5" x14ac:dyDescent="0.3">
      <c r="A2" s="1" t="s">
        <v>208</v>
      </c>
      <c r="B2" s="1" t="s">
        <v>209</v>
      </c>
      <c r="C2" s="1" t="s">
        <v>210</v>
      </c>
      <c r="D2" s="1" t="s">
        <v>211</v>
      </c>
      <c r="E2" s="1" t="s">
        <v>30</v>
      </c>
    </row>
    <row r="3" spans="1:5" x14ac:dyDescent="0.3">
      <c r="A3" s="1" t="s">
        <v>212</v>
      </c>
      <c r="B3" s="1" t="s">
        <v>213</v>
      </c>
      <c r="C3" s="1" t="s">
        <v>214</v>
      </c>
      <c r="D3" s="1" t="s">
        <v>211</v>
      </c>
      <c r="E3" s="1" t="s">
        <v>30</v>
      </c>
    </row>
    <row r="4" spans="1:5" x14ac:dyDescent="0.3">
      <c r="A4" s="1" t="s">
        <v>215</v>
      </c>
      <c r="B4" s="1" t="s">
        <v>216</v>
      </c>
      <c r="C4" s="1" t="s">
        <v>217</v>
      </c>
      <c r="D4" s="1" t="s">
        <v>211</v>
      </c>
      <c r="E4" s="1" t="s">
        <v>30</v>
      </c>
    </row>
    <row r="5" spans="1:5" x14ac:dyDescent="0.3">
      <c r="A5" s="1" t="s">
        <v>218</v>
      </c>
      <c r="B5" s="1" t="s">
        <v>219</v>
      </c>
      <c r="C5" s="1" t="s">
        <v>220</v>
      </c>
      <c r="D5" s="1" t="s">
        <v>211</v>
      </c>
      <c r="E5" s="1" t="s">
        <v>30</v>
      </c>
    </row>
    <row r="6" spans="1:5" x14ac:dyDescent="0.3">
      <c r="A6" s="1" t="s">
        <v>221</v>
      </c>
      <c r="B6" s="1" t="s">
        <v>222</v>
      </c>
      <c r="C6" s="1" t="s">
        <v>223</v>
      </c>
      <c r="D6" s="1" t="s">
        <v>211</v>
      </c>
      <c r="E6" s="1" t="s">
        <v>30</v>
      </c>
    </row>
    <row r="7" spans="1:5" x14ac:dyDescent="0.3">
      <c r="A7" s="1" t="s">
        <v>224</v>
      </c>
      <c r="B7" s="1" t="s">
        <v>225</v>
      </c>
      <c r="C7" s="1" t="s">
        <v>226</v>
      </c>
      <c r="D7" s="1" t="s">
        <v>211</v>
      </c>
      <c r="E7" s="1" t="s">
        <v>30</v>
      </c>
    </row>
    <row r="8" spans="1:5" x14ac:dyDescent="0.3">
      <c r="A8" s="1" t="s">
        <v>227</v>
      </c>
      <c r="B8" s="1" t="s">
        <v>228</v>
      </c>
      <c r="C8" s="1" t="s">
        <v>229</v>
      </c>
      <c r="D8" s="1" t="s">
        <v>211</v>
      </c>
      <c r="E8" s="1" t="s">
        <v>30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26" customWidth="1"/>
    <col min="3" max="3" width="64" customWidth="1"/>
    <col min="4" max="4" width="12" customWidth="1"/>
    <col min="5" max="5" width="14" customWidth="1"/>
    <col min="6" max="6" width="34" customWidth="1"/>
  </cols>
  <sheetData>
    <row r="1" spans="1:6" x14ac:dyDescent="0.3">
      <c r="A1" s="2" t="s">
        <v>41</v>
      </c>
      <c r="B1" s="2" t="s">
        <v>230</v>
      </c>
      <c r="C1" s="2" t="s">
        <v>231</v>
      </c>
      <c r="D1" s="2" t="s">
        <v>22</v>
      </c>
      <c r="E1" s="2" t="s">
        <v>4</v>
      </c>
      <c r="F1" s="2" t="s">
        <v>232</v>
      </c>
    </row>
    <row r="2" spans="1:6" ht="28.8" x14ac:dyDescent="0.3">
      <c r="A2" s="1" t="s">
        <v>233</v>
      </c>
      <c r="B2" s="1" t="s">
        <v>234</v>
      </c>
      <c r="C2" s="1" t="s">
        <v>235</v>
      </c>
      <c r="D2" s="1" t="s">
        <v>58</v>
      </c>
      <c r="E2" s="1" t="s">
        <v>8</v>
      </c>
      <c r="F2" s="1"/>
    </row>
    <row r="3" spans="1:6" ht="28.8" x14ac:dyDescent="0.3">
      <c r="A3" s="1" t="s">
        <v>236</v>
      </c>
      <c r="B3" s="1" t="s">
        <v>237</v>
      </c>
      <c r="C3" s="1" t="s">
        <v>238</v>
      </c>
      <c r="D3" s="1" t="s">
        <v>29</v>
      </c>
      <c r="E3" s="1" t="s">
        <v>8</v>
      </c>
      <c r="F3" s="1"/>
    </row>
    <row r="4" spans="1:6" x14ac:dyDescent="0.3">
      <c r="A4" s="1" t="s">
        <v>239</v>
      </c>
      <c r="B4" s="1" t="s">
        <v>240</v>
      </c>
      <c r="C4" s="1" t="s">
        <v>241</v>
      </c>
      <c r="D4" s="1" t="s">
        <v>29</v>
      </c>
      <c r="E4" s="1" t="s">
        <v>8</v>
      </c>
      <c r="F4" s="1"/>
    </row>
    <row r="5" spans="1:6" ht="28.8" x14ac:dyDescent="0.3">
      <c r="A5" s="1" t="s">
        <v>242</v>
      </c>
      <c r="B5" s="1" t="s">
        <v>243</v>
      </c>
      <c r="C5" s="1" t="s">
        <v>244</v>
      </c>
      <c r="D5" s="1" t="s">
        <v>29</v>
      </c>
      <c r="E5" s="1" t="s">
        <v>8</v>
      </c>
      <c r="F5" s="1"/>
    </row>
    <row r="6" spans="1:6" ht="28.8" x14ac:dyDescent="0.3">
      <c r="A6" s="1" t="s">
        <v>245</v>
      </c>
      <c r="B6" s="1" t="s">
        <v>246</v>
      </c>
      <c r="C6" s="1" t="s">
        <v>247</v>
      </c>
      <c r="D6" s="1" t="s">
        <v>89</v>
      </c>
      <c r="E6" s="1" t="s">
        <v>8</v>
      </c>
      <c r="F6" s="1"/>
    </row>
    <row r="7" spans="1:6" x14ac:dyDescent="0.3">
      <c r="A7" s="1" t="s">
        <v>248</v>
      </c>
      <c r="B7" s="1" t="s">
        <v>249</v>
      </c>
      <c r="C7" s="1" t="s">
        <v>250</v>
      </c>
      <c r="D7" s="1" t="s">
        <v>29</v>
      </c>
      <c r="E7" s="1" t="s">
        <v>8</v>
      </c>
      <c r="F7" s="1"/>
    </row>
  </sheetData>
  <conditionalFormatting sqref="E2:E7">
    <cfRule type="expression" dxfId="3" priority="1">
      <formula>NOT(ISERROR(SEARCH("Done",E2)))</formula>
    </cfRule>
    <cfRule type="expression" dxfId="2" priority="2">
      <formula>NOT(ISERROR(SEARCH("In Progress",E2)))</formula>
    </cfRule>
    <cfRule type="expression" dxfId="1" priority="3">
      <formula>NOT(ISERROR(SEARCH("Blocked",E2)))</formula>
    </cfRule>
    <cfRule type="expression" dxfId="0" priority="4">
      <formula>NOT(ISERROR(SEARCH("Cut",E2)))</formula>
    </cfRule>
  </conditionalFormatting>
  <dataValidations count="1">
    <dataValidation type="list" sqref="E2:E7" xr:uid="{00000000-0002-0000-0900-000000000000}">
      <formula1>"Not Started,In Progress,Blocked,Done,Cut"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All Tasks</vt:lpstr>
      <vt:lpstr>Build 0 - Setup</vt:lpstr>
      <vt:lpstr>Build 1 - Combat Core</vt:lpstr>
      <vt:lpstr>Build 1.5 - Hardening</vt:lpstr>
      <vt:lpstr>Build 2 - Prep Loop</vt:lpstr>
      <vt:lpstr>Build 3 - Final Demo</vt:lpstr>
      <vt:lpstr>Hard Cut Rules</vt:lpstr>
      <vt:lpstr>Stretch Only</vt:lpstr>
      <vt:lpstr>Test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Kagimbi, Samuel K.</cp:lastModifiedBy>
  <dcterms:created xsi:type="dcterms:W3CDTF">2026-06-05T20:28:27Z</dcterms:created>
  <dcterms:modified xsi:type="dcterms:W3CDTF">2026-06-09T20:06:39Z</dcterms:modified>
</cp:coreProperties>
</file>